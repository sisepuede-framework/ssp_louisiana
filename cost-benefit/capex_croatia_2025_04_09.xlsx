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23e8c81818e4a8/Edmundo-ITESM/3.Proyectos/51. WB Decarbonization Project/Croatia_CaseStudy/simulations raw/2025_04_09/"/>
    </mc:Choice>
  </mc:AlternateContent>
  <xr:revisionPtr revIDLastSave="5" documentId="8_{81920A33-CED1-5940-8AC5-CA91F1044B04}" xr6:coauthVersionLast="47" xr6:coauthVersionMax="47" xr10:uidLastSave="{9FAD87EA-BB87-7948-8F17-7233262FF88F}"/>
  <bookViews>
    <workbookView xWindow="3180" yWindow="2440" windowWidth="30240" windowHeight="17300" activeTab="1" xr2:uid="{00000000-000D-0000-FFFF-FFFF00000000}"/>
  </bookViews>
  <sheets>
    <sheet name="Sheet 1" sheetId="1" r:id="rId1"/>
    <sheet name="capex" sheetId="2" r:id="rId2"/>
    <sheet name="opex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10" i="3" l="1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10" i="3"/>
  <c r="D9" i="3"/>
  <c r="D8" i="3"/>
  <c r="D7" i="3"/>
  <c r="D6" i="3"/>
  <c r="D5" i="3"/>
  <c r="D4" i="3"/>
</calcChain>
</file>

<file path=xl/sharedStrings.xml><?xml version="1.0" encoding="utf-8"?>
<sst xmlns="http://schemas.openxmlformats.org/spreadsheetml/2006/main" count="190" uniqueCount="104">
  <si>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</si>
  <si>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</si>
  <si>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</si>
  <si>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</si>
  <si>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</si>
  <si>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</si>
  <si>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</si>
  <si>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</si>
  <si>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</si>
  <si>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</si>
  <si>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</si>
  <si>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</si>
  <si>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</si>
  <si>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</si>
  <si>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</si>
  <si>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</si>
  <si>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</si>
  <si>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</si>
  <si>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</si>
  <si>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</si>
  <si>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</si>
  <si>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</si>
  <si>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</si>
  <si>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</si>
  <si>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</si>
  <si>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</si>
  <si>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</si>
  <si>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6004</t>
  </si>
  <si>
    <t>PFLO:WEM</t>
  </si>
  <si>
    <t>6005</t>
  </si>
  <si>
    <t>PFLO:WAM</t>
  </si>
  <si>
    <t>Year1</t>
  </si>
  <si>
    <t>IN - Industrial processes</t>
  </si>
  <si>
    <t>Waste - Solid waste</t>
  </si>
  <si>
    <t>Waste - Wastewater treatment (trww)</t>
  </si>
  <si>
    <t>AG - Crops</t>
  </si>
  <si>
    <t>AG - Livestock</t>
  </si>
  <si>
    <t>AG - Livestock (manure)</t>
  </si>
  <si>
    <t>LULUCF - Forest land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</si>
  <si>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</si>
  <si>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</si>
  <si>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</si>
  <si>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</si>
  <si>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</si>
  <si>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</si>
  <si>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</si>
  <si>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</si>
  <si>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</si>
  <si>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</si>
  <si>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</si>
  <si>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</si>
  <si>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</si>
  <si>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</si>
  <si>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</si>
  <si>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</si>
  <si>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</si>
  <si>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</si>
  <si>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</si>
  <si>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</si>
  <si>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</si>
  <si>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</si>
  <si>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</si>
  <si>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</si>
  <si>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</si>
  <si>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</si>
  <si>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</si>
  <si>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6004</t>
  </si>
  <si>
    <t>PFLO:WEM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</si>
  <si>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</si>
  <si>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</si>
  <si>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</si>
  <si>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</si>
  <si>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</si>
  <si>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</si>
  <si>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</si>
  <si>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</si>
  <si>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</si>
  <si>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</si>
  <si>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</si>
  <si>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</si>
  <si>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</si>
  <si>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</si>
  <si>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</si>
  <si>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</si>
  <si>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</si>
  <si>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</si>
  <si>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</si>
  <si>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</si>
  <si>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</si>
  <si>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</si>
  <si>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</si>
  <si>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</si>
  <si>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</si>
  <si>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</si>
  <si>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</si>
  <si>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6005</t>
  </si>
  <si>
    <t>PFLO:WAM</t>
  </si>
  <si>
    <t>Sector</t>
  </si>
  <si>
    <t>Unit</t>
  </si>
  <si>
    <t>Billion USD 2019</t>
  </si>
  <si>
    <t>opex factor</t>
  </si>
  <si>
    <t xml:space="preserve">policy </t>
  </si>
  <si>
    <t>baseline</t>
  </si>
  <si>
    <t>transformation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</si>
</sst>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name val="Calibri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164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164" fontId="1" fillId="2" borderId="4" xfId="0" applyNumberFormat="1" applyFont="1" applyFill="1" applyBorder="1" applyAlignment="1">
      <alignment vertical="center"/>
    </xf>
    <xf numFmtId="0" fontId="0" fillId="2" borderId="0" xfId="0" applyFill="1"/>
    <xf numFmtId="0" fontId="1" fillId="0" borderId="2" xfId="0" applyFont="1" applyBorder="1" applyAlignment="1">
      <alignment horizontal="center"/>
    </xf>
    <xf numFmtId="0" fontId="1" fillId="0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workbookViewId="0">
      <selection activeCell="F22" sqref="F22"/>
    </sheetView>
  </sheetViews>
  <sheetFormatPr baseColWidth="10" defaultColWidth="8.83203125" defaultRowHeight="15" x14ac:dyDescent="0.2"/>
  <sheetData>
    <row r="1" spans="1:3" x14ac:dyDescent="0.2">
      <c r="B1" s="2" t="s">
        <v>28</v>
      </c>
      <c r="C1" s="2" t="s">
        <v>30</v>
      </c>
    </row>
    <row r="2" spans="1:3" x14ac:dyDescent="0.2">
      <c r="A2" s="3" t="s">
        <v>31</v>
      </c>
      <c r="B2" s="2" t="s">
        <v>27</v>
      </c>
      <c r="C2" s="2" t="s">
        <v>29</v>
      </c>
    </row>
    <row r="3" spans="1:3" x14ac:dyDescent="0.2">
      <c r="A3" s="1" t="s">
        <v>0</v>
      </c>
      <c r="B3" s="4">
        <v>0</v>
      </c>
      <c r="C3" s="4">
        <v>0</v>
      </c>
    </row>
    <row r="4" spans="1:3" x14ac:dyDescent="0.2">
      <c r="A4" s="1" t="s">
        <v>1</v>
      </c>
      <c r="B4" s="4">
        <v>8.0235507692307776E-4</v>
      </c>
      <c r="C4" s="4">
        <v>8.0235507692307776E-4</v>
      </c>
    </row>
    <row r="5" spans="1:3" x14ac:dyDescent="0.2">
      <c r="A5" s="1" t="s">
        <v>2</v>
      </c>
      <c r="B5" s="4">
        <v>1.6206526153846163E-3</v>
      </c>
      <c r="C5" s="4">
        <v>1.6206526153846163E-3</v>
      </c>
    </row>
    <row r="6" spans="1:3" x14ac:dyDescent="0.2">
      <c r="A6" s="1" t="s">
        <v>3</v>
      </c>
      <c r="B6" s="4">
        <v>2.4545215384615387E-3</v>
      </c>
      <c r="C6" s="4">
        <v>2.4545215384615387E-3</v>
      </c>
    </row>
    <row r="7" spans="1:3" x14ac:dyDescent="0.2">
      <c r="A7" s="1" t="s">
        <v>4</v>
      </c>
      <c r="B7" s="4">
        <v>7.4670490874073642E-3</v>
      </c>
      <c r="C7" s="4">
        <v>1.2093193437026764E-2</v>
      </c>
    </row>
    <row r="8" spans="1:3" x14ac:dyDescent="0.2">
      <c r="A8" s="1" t="s">
        <v>5</v>
      </c>
      <c r="B8" s="4">
        <v>1.1550306995789197E-2</v>
      </c>
      <c r="C8" s="4">
        <v>2.09330425810531E-2</v>
      </c>
    </row>
    <row r="9" spans="1:3" x14ac:dyDescent="0.2">
      <c r="A9" s="1" t="s">
        <v>6</v>
      </c>
      <c r="B9" s="4">
        <v>1.7971963115831054E-2</v>
      </c>
      <c r="C9" s="4">
        <v>3.2081072990824369E-2</v>
      </c>
    </row>
    <row r="10" spans="1:3" x14ac:dyDescent="0.2">
      <c r="A10" s="1" t="s">
        <v>7</v>
      </c>
      <c r="B10" s="4">
        <v>2.4246923817813439E-2</v>
      </c>
      <c r="C10" s="4">
        <v>4.3103265851666912E-2</v>
      </c>
    </row>
    <row r="11" spans="1:3" x14ac:dyDescent="0.2">
      <c r="A11" s="1" t="s">
        <v>8</v>
      </c>
      <c r="B11" s="4">
        <v>3.0382870031583707E-2</v>
      </c>
      <c r="C11" s="4">
        <v>5.4004295973504382E-2</v>
      </c>
    </row>
    <row r="12" spans="1:3" x14ac:dyDescent="0.2">
      <c r="A12" s="1" t="s">
        <v>9</v>
      </c>
      <c r="B12" s="4">
        <v>3.6386047246632386E-2</v>
      </c>
      <c r="C12" s="4">
        <v>6.4787605798553971E-2</v>
      </c>
    </row>
    <row r="13" spans="1:3" x14ac:dyDescent="0.2">
      <c r="A13" s="1" t="s">
        <v>10</v>
      </c>
      <c r="B13" s="4">
        <v>4.1609717931284873E-2</v>
      </c>
      <c r="C13" s="4">
        <v>7.4804572776582742E-2</v>
      </c>
    </row>
    <row r="14" spans="1:3" x14ac:dyDescent="0.2">
      <c r="A14" s="1" t="s">
        <v>11</v>
      </c>
      <c r="B14" s="4">
        <v>4.6710121005228478E-2</v>
      </c>
      <c r="C14" s="4">
        <v>8.4710300531598365E-2</v>
      </c>
    </row>
    <row r="15" spans="1:3" x14ac:dyDescent="0.2">
      <c r="A15" s="1" t="s">
        <v>12</v>
      </c>
      <c r="B15" s="4">
        <v>5.1695613211251885E-2</v>
      </c>
      <c r="C15" s="4">
        <v>9.4511991013535426E-2</v>
      </c>
    </row>
    <row r="16" spans="1:3" x14ac:dyDescent="0.2">
      <c r="A16" s="1" t="s">
        <v>13</v>
      </c>
      <c r="B16" s="4">
        <v>5.6573249202762924E-2</v>
      </c>
      <c r="C16" s="4">
        <v>0.10421543613818232</v>
      </c>
    </row>
    <row r="17" spans="1:3" x14ac:dyDescent="0.2">
      <c r="A17" s="1" t="s">
        <v>14</v>
      </c>
      <c r="B17" s="4">
        <v>6.1349320955561504E-2</v>
      </c>
      <c r="C17" s="4">
        <v>0.11382582271452982</v>
      </c>
    </row>
    <row r="18" spans="1:3" x14ac:dyDescent="0.2">
      <c r="A18" s="1" t="s">
        <v>15</v>
      </c>
      <c r="B18" s="4">
        <v>6.6030646933220069E-2</v>
      </c>
      <c r="C18" s="4">
        <v>0.12334924432903362</v>
      </c>
    </row>
    <row r="19" spans="1:3" x14ac:dyDescent="0.2">
      <c r="A19" s="1" t="s">
        <v>16</v>
      </c>
      <c r="B19" s="4">
        <v>7.0623700474889389E-2</v>
      </c>
      <c r="C19" s="4">
        <v>0.13279168424764709</v>
      </c>
    </row>
    <row r="20" spans="1:3" x14ac:dyDescent="0.2">
      <c r="A20" s="1" t="s">
        <v>17</v>
      </c>
      <c r="B20" s="4">
        <v>7.5134652495308887E-2</v>
      </c>
      <c r="C20" s="4">
        <v>0.14215883158700299</v>
      </c>
    </row>
    <row r="21" spans="1:3" x14ac:dyDescent="0.2">
      <c r="A21" s="1" t="s">
        <v>18</v>
      </c>
      <c r="B21" s="4">
        <v>7.956862876936488E-2</v>
      </c>
      <c r="C21" s="4">
        <v>0.15145535169125734</v>
      </c>
    </row>
    <row r="22" spans="1:3" x14ac:dyDescent="0.2">
      <c r="A22" s="1" t="s">
        <v>19</v>
      </c>
      <c r="B22" s="4">
        <v>8.3930334490981903E-2</v>
      </c>
      <c r="C22" s="4">
        <v>0.16068546119840932</v>
      </c>
    </row>
    <row r="23" spans="1:3" x14ac:dyDescent="0.2">
      <c r="A23" s="1" t="s">
        <v>20</v>
      </c>
      <c r="B23" s="4">
        <v>8.8224125730740927E-2</v>
      </c>
      <c r="C23" s="4">
        <v>0.16985320050386896</v>
      </c>
    </row>
    <row r="24" spans="1:3" x14ac:dyDescent="0.2">
      <c r="A24" s="1" t="s">
        <v>21</v>
      </c>
      <c r="B24" s="4">
        <v>9.2454789118889519E-2</v>
      </c>
      <c r="C24" s="4">
        <v>0.17896335690238749</v>
      </c>
    </row>
    <row r="25" spans="1:3" x14ac:dyDescent="0.2">
      <c r="A25" s="1" t="s">
        <v>22</v>
      </c>
      <c r="B25" s="4">
        <v>9.6626979394080326E-2</v>
      </c>
      <c r="C25" s="4">
        <v>0.18802052395851865</v>
      </c>
    </row>
    <row r="26" spans="1:3" x14ac:dyDescent="0.2">
      <c r="A26" s="1" t="s">
        <v>23</v>
      </c>
      <c r="B26" s="4">
        <v>0.10074471085484588</v>
      </c>
      <c r="C26" s="4">
        <v>0.19702865094594565</v>
      </c>
    </row>
    <row r="27" spans="1:3" x14ac:dyDescent="0.2">
      <c r="A27" s="1" t="s">
        <v>24</v>
      </c>
      <c r="B27" s="4">
        <v>0.10481197101159842</v>
      </c>
      <c r="C27" s="4">
        <v>0.2059917953963657</v>
      </c>
    </row>
    <row r="28" spans="1:3" x14ac:dyDescent="0.2">
      <c r="A28" s="1" t="s">
        <v>25</v>
      </c>
      <c r="B28" s="4">
        <v>0.10883243071604395</v>
      </c>
      <c r="C28" s="4">
        <v>0.21491367802712363</v>
      </c>
    </row>
    <row r="29" spans="1:3" x14ac:dyDescent="0.2">
      <c r="A29" s="1" t="s">
        <v>26</v>
      </c>
      <c r="B29" s="4">
        <v>0.11280391586373617</v>
      </c>
      <c r="C29" s="4">
        <v>0.22379229405566464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11"/>
  <sheetViews>
    <sheetView tabSelected="1" workbookViewId="0">
      <selection activeCell="B12" sqref="B12"/>
    </sheetView>
  </sheetViews>
  <sheetFormatPr baseColWidth="10" defaultColWidth="8.83203125" defaultRowHeight="15" x14ac:dyDescent="0.2"/>
  <cols>
    <col min="1" max="1" width="27" bestFit="1" customWidth="1"/>
    <col min="2" max="3" width="27" customWidth="1"/>
  </cols>
  <sheetData>
    <row r="1" spans="1:57" x14ac:dyDescent="0.2">
      <c r="D1" s="11" t="s">
        <v>67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 t="s">
        <v>96</v>
      </c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</row>
    <row r="2" spans="1:57" x14ac:dyDescent="0.2">
      <c r="D2" s="11" t="s">
        <v>66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 t="s">
        <v>95</v>
      </c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</row>
    <row r="3" spans="1:57" x14ac:dyDescent="0.2">
      <c r="A3" s="3" t="s">
        <v>97</v>
      </c>
      <c r="B3" s="5" t="s">
        <v>101</v>
      </c>
      <c r="C3" s="5" t="s">
        <v>98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 t="s">
        <v>49</v>
      </c>
      <c r="O3" s="2" t="s">
        <v>50</v>
      </c>
      <c r="P3" s="2" t="s">
        <v>51</v>
      </c>
      <c r="Q3" s="2" t="s">
        <v>52</v>
      </c>
      <c r="R3" s="2" t="s">
        <v>53</v>
      </c>
      <c r="S3" s="2" t="s">
        <v>54</v>
      </c>
      <c r="T3" s="2" t="s">
        <v>55</v>
      </c>
      <c r="U3" s="2" t="s">
        <v>56</v>
      </c>
      <c r="V3" s="2" t="s">
        <v>57</v>
      </c>
      <c r="W3" s="2" t="s">
        <v>58</v>
      </c>
      <c r="X3" s="2" t="s">
        <v>59</v>
      </c>
      <c r="Y3" s="2" t="s">
        <v>60</v>
      </c>
      <c r="Z3" s="2" t="s">
        <v>61</v>
      </c>
      <c r="AA3" s="2" t="s">
        <v>62</v>
      </c>
      <c r="AB3" s="2" t="s">
        <v>63</v>
      </c>
      <c r="AC3" s="2" t="s">
        <v>64</v>
      </c>
      <c r="AD3" s="2" t="s">
        <v>65</v>
      </c>
      <c r="AE3" s="2" t="s">
        <v>68</v>
      </c>
      <c r="AF3" s="2" t="s">
        <v>69</v>
      </c>
      <c r="AG3" s="2" t="s">
        <v>70</v>
      </c>
      <c r="AH3" s="2" t="s">
        <v>71</v>
      </c>
      <c r="AI3" s="2" t="s">
        <v>72</v>
      </c>
      <c r="AJ3" s="2" t="s">
        <v>73</v>
      </c>
      <c r="AK3" s="2" t="s">
        <v>74</v>
      </c>
      <c r="AL3" s="2" t="s">
        <v>75</v>
      </c>
      <c r="AM3" s="2" t="s">
        <v>76</v>
      </c>
      <c r="AN3" s="2" t="s">
        <v>77</v>
      </c>
      <c r="AO3" s="2" t="s">
        <v>78</v>
      </c>
      <c r="AP3" s="2" t="s">
        <v>79</v>
      </c>
      <c r="AQ3" s="2" t="s">
        <v>80</v>
      </c>
      <c r="AR3" s="2" t="s">
        <v>81</v>
      </c>
      <c r="AS3" s="2" t="s">
        <v>82</v>
      </c>
      <c r="AT3" s="2" t="s">
        <v>83</v>
      </c>
      <c r="AU3" s="2" t="s">
        <v>84</v>
      </c>
      <c r="AV3" s="2" t="s">
        <v>85</v>
      </c>
      <c r="AW3" s="2" t="s">
        <v>86</v>
      </c>
      <c r="AX3" s="2" t="s">
        <v>87</v>
      </c>
      <c r="AY3" s="2" t="s">
        <v>88</v>
      </c>
      <c r="AZ3" s="2" t="s">
        <v>89</v>
      </c>
      <c r="BA3" s="2" t="s">
        <v>90</v>
      </c>
      <c r="BB3" s="2" t="s">
        <v>91</v>
      </c>
      <c r="BC3" s="2" t="s">
        <v>92</v>
      </c>
      <c r="BD3" s="2" t="s">
        <v>93</v>
      </c>
      <c r="BE3" s="2" t="s">
        <v>94</v>
      </c>
    </row>
    <row r="4" spans="1:57" x14ac:dyDescent="0.2">
      <c r="A4" s="1" t="s">
        <v>32</v>
      </c>
      <c r="B4" s="6" t="s">
        <v>102</v>
      </c>
      <c r="C4" s="6" t="s">
        <v>99</v>
      </c>
      <c r="D4" s="4">
        <v>0</v>
      </c>
      <c r="E4" s="4">
        <v>0</v>
      </c>
      <c r="F4" s="4">
        <v>0</v>
      </c>
      <c r="G4" s="4">
        <v>0</v>
      </c>
      <c r="H4" s="4">
        <v>6.6592104229300805E-4</v>
      </c>
      <c r="I4" s="4">
        <v>1.33209775342221E-3</v>
      </c>
      <c r="J4" s="4">
        <v>1.9985296568011202E-3</v>
      </c>
      <c r="K4" s="4">
        <v>2.66523201324985E-3</v>
      </c>
      <c r="L4" s="4">
        <v>3.3321350374692499E-3</v>
      </c>
      <c r="M4" s="4">
        <v>3.9991799245067796E-3</v>
      </c>
      <c r="N4" s="4">
        <v>4.6664281815300603E-3</v>
      </c>
      <c r="O4" s="4">
        <v>5.3339589260878303E-3</v>
      </c>
      <c r="P4" s="4">
        <v>6.0017410431691997E-3</v>
      </c>
      <c r="Q4" s="4">
        <v>6.6697177030157701E-3</v>
      </c>
      <c r="R4" s="4">
        <v>7.3378548138623E-3</v>
      </c>
      <c r="S4" s="4">
        <v>8.0061807996036297E-3</v>
      </c>
      <c r="T4" s="4">
        <v>8.6746999947182896E-3</v>
      </c>
      <c r="U4" s="4">
        <v>9.3434058777312392E-3</v>
      </c>
      <c r="V4" s="4">
        <v>1.00122608096972E-2</v>
      </c>
      <c r="W4" s="4">
        <v>1.0681251955082099E-2</v>
      </c>
      <c r="X4" s="4">
        <v>1.1350372772343E-2</v>
      </c>
      <c r="Y4" s="4">
        <v>1.2019653606004901E-2</v>
      </c>
      <c r="Z4" s="4">
        <v>1.26890850429555E-2</v>
      </c>
      <c r="AA4" s="4">
        <v>1.33586381554892E-2</v>
      </c>
      <c r="AB4" s="4">
        <v>1.40283216656149E-2</v>
      </c>
      <c r="AC4" s="4">
        <v>1.4698118792496899E-2</v>
      </c>
      <c r="AD4" s="4">
        <v>1.53680294711154E-2</v>
      </c>
      <c r="AE4" s="4">
        <v>0</v>
      </c>
      <c r="AF4" s="4">
        <v>0</v>
      </c>
      <c r="AG4" s="4">
        <v>0</v>
      </c>
      <c r="AH4" s="4">
        <v>0</v>
      </c>
      <c r="AI4" s="4">
        <v>4.8768662021154716E-3</v>
      </c>
      <c r="AJ4" s="4">
        <v>9.7529064433342343E-3</v>
      </c>
      <c r="AK4" s="4">
        <v>1.4628121378999829E-2</v>
      </c>
      <c r="AL4" s="4">
        <v>1.950253869295775E-2</v>
      </c>
      <c r="AM4" s="4">
        <v>2.4376043799978667E-2</v>
      </c>
      <c r="AN4" s="4">
        <v>2.9248543780273112E-2</v>
      </c>
      <c r="AO4" s="4">
        <v>3.4120147113384042E-2</v>
      </c>
      <c r="AP4" s="4">
        <v>3.8990988555393957E-2</v>
      </c>
      <c r="AQ4" s="4">
        <v>4.3861020484520383E-2</v>
      </c>
      <c r="AR4" s="4">
        <v>4.8730155287412431E-2</v>
      </c>
      <c r="AS4" s="4">
        <v>5.359834431101191E-2</v>
      </c>
      <c r="AT4" s="4">
        <v>5.8465640375645292E-2</v>
      </c>
      <c r="AU4" s="4">
        <v>6.3332057146024676E-2</v>
      </c>
      <c r="AV4" s="4">
        <v>6.8197591115117043E-2</v>
      </c>
      <c r="AW4" s="4">
        <v>7.3062189999575436E-2</v>
      </c>
      <c r="AX4" s="4">
        <v>7.7925841871948023E-2</v>
      </c>
      <c r="AY4" s="4">
        <v>8.2788545056984103E-2</v>
      </c>
      <c r="AZ4" s="4">
        <v>8.7650355373612376E-2</v>
      </c>
      <c r="BA4" s="4">
        <v>9.2511266351202479E-2</v>
      </c>
      <c r="BB4" s="4">
        <v>9.7371242000628452E-2</v>
      </c>
      <c r="BC4" s="4">
        <v>0.10223030471905924</v>
      </c>
      <c r="BD4" s="4">
        <v>0.10708843799452522</v>
      </c>
      <c r="BE4" s="4">
        <v>0.1119456507698883</v>
      </c>
    </row>
    <row r="5" spans="1:57" x14ac:dyDescent="0.2">
      <c r="A5" s="1" t="s">
        <v>33</v>
      </c>
      <c r="B5" s="6" t="s">
        <v>102</v>
      </c>
      <c r="C5" s="6" t="s">
        <v>99</v>
      </c>
      <c r="D5" s="4">
        <v>0</v>
      </c>
      <c r="E5" s="4">
        <v>0</v>
      </c>
      <c r="F5" s="4">
        <v>0</v>
      </c>
      <c r="G5" s="4">
        <v>0</v>
      </c>
      <c r="H5" s="4">
        <v>3.096658887593807E-3</v>
      </c>
      <c r="I5" s="4">
        <v>6.1159519513540473E-3</v>
      </c>
      <c r="J5" s="4">
        <v>9.0634792067896108E-3</v>
      </c>
      <c r="K5" s="4">
        <v>1.1945242938774114E-2</v>
      </c>
      <c r="L5" s="4">
        <v>1.4765946865521361E-2</v>
      </c>
      <c r="M5" s="4">
        <v>1.7528773457002961E-2</v>
      </c>
      <c r="N5" s="4">
        <v>2.0237507697813024E-2</v>
      </c>
      <c r="O5" s="4">
        <v>2.2897490157040356E-2</v>
      </c>
      <c r="P5" s="4">
        <v>2.551397748818085E-2</v>
      </c>
      <c r="Q5" s="4">
        <v>2.8091117109756814E-2</v>
      </c>
      <c r="R5" s="4">
        <v>3.0632045226828955E-2</v>
      </c>
      <c r="S5" s="4">
        <v>3.3139915340601102E-2</v>
      </c>
      <c r="T5" s="4">
        <v>3.5618045100609952E-2</v>
      </c>
      <c r="U5" s="4">
        <v>3.8069635095667562E-2</v>
      </c>
      <c r="V5" s="4">
        <v>4.0497292969959922E-2</v>
      </c>
      <c r="W5" s="4">
        <v>4.2903048926385155E-2</v>
      </c>
      <c r="X5" s="4">
        <v>4.5288698163519409E-2</v>
      </c>
      <c r="Y5" s="4">
        <v>4.7656311709814478E-2</v>
      </c>
      <c r="Z5" s="4">
        <v>5.0008249928070445E-2</v>
      </c>
      <c r="AA5" s="4">
        <v>5.234649340391756E-2</v>
      </c>
      <c r="AB5" s="4">
        <v>5.4672796556711652E-2</v>
      </c>
      <c r="AC5" s="4">
        <v>5.6988935290764209E-2</v>
      </c>
      <c r="AD5" s="4">
        <v>5.9296541627756286E-2</v>
      </c>
      <c r="AE5" s="4">
        <v>0</v>
      </c>
      <c r="AF5" s="4">
        <v>0</v>
      </c>
      <c r="AG5" s="4">
        <v>0</v>
      </c>
      <c r="AH5" s="4">
        <v>0</v>
      </c>
      <c r="AI5" s="4">
        <v>3.5117749355957515E-3</v>
      </c>
      <c r="AJ5" s="4">
        <v>6.9747883511443827E-3</v>
      </c>
      <c r="AK5" s="4">
        <v>1.0390943404497584E-2</v>
      </c>
      <c r="AL5" s="4">
        <v>1.3763252824665121E-2</v>
      </c>
      <c r="AM5" s="4">
        <v>1.7093474553697741E-2</v>
      </c>
      <c r="AN5" s="4">
        <v>2.0382009523047074E-2</v>
      </c>
      <c r="AO5" s="4">
        <v>2.3630711239471674E-2</v>
      </c>
      <c r="AP5" s="4">
        <v>2.6843744439156006E-2</v>
      </c>
      <c r="AQ5" s="4">
        <v>3.0025205170543644E-2</v>
      </c>
      <c r="AR5" s="4">
        <v>3.317803936519266E-2</v>
      </c>
      <c r="AS5" s="4">
        <v>3.6304263203145469E-2</v>
      </c>
      <c r="AT5" s="4">
        <v>3.9406313600810941E-2</v>
      </c>
      <c r="AU5" s="4">
        <v>4.2486963720767372E-2</v>
      </c>
      <c r="AV5" s="4">
        <v>4.5548985652083936E-2</v>
      </c>
      <c r="AW5" s="4">
        <v>4.8594480767312168E-2</v>
      </c>
      <c r="AX5" s="4">
        <v>5.1625049161597228E-2</v>
      </c>
      <c r="AY5" s="4">
        <v>5.4642141332170532E-2</v>
      </c>
      <c r="AZ5" s="4">
        <v>5.7647774948396929E-2</v>
      </c>
      <c r="BA5" s="4">
        <v>6.0644294601142824E-2</v>
      </c>
      <c r="BB5" s="4">
        <v>6.3633595838409773E-2</v>
      </c>
      <c r="BC5" s="4">
        <v>6.6617496160584377E-2</v>
      </c>
      <c r="BD5" s="4">
        <v>6.9597824087801366E-2</v>
      </c>
      <c r="BE5" s="4">
        <v>7.257634928074512E-2</v>
      </c>
    </row>
    <row r="6" spans="1:57" x14ac:dyDescent="0.2">
      <c r="A6" s="1" t="s">
        <v>34</v>
      </c>
      <c r="B6" s="6" t="s">
        <v>102</v>
      </c>
      <c r="C6" s="6" t="s">
        <v>99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</row>
    <row r="7" spans="1:57" x14ac:dyDescent="0.2">
      <c r="A7" s="1" t="s">
        <v>35</v>
      </c>
      <c r="B7" s="6" t="s">
        <v>102</v>
      </c>
      <c r="C7" s="6" t="s">
        <v>99</v>
      </c>
      <c r="D7" s="4">
        <v>0</v>
      </c>
      <c r="E7" s="4">
        <v>0</v>
      </c>
      <c r="F7" s="4">
        <v>0</v>
      </c>
      <c r="G7" s="4">
        <v>0</v>
      </c>
      <c r="H7" s="4">
        <v>4.0471061903689999E-4</v>
      </c>
      <c r="I7" s="4">
        <v>8.0849485111169999E-4</v>
      </c>
      <c r="J7" s="4">
        <v>1.2112003139551999E-3</v>
      </c>
      <c r="K7" s="4">
        <v>1.6129425661114E-3</v>
      </c>
      <c r="L7" s="4">
        <v>2.0124719272795002E-3</v>
      </c>
      <c r="M7" s="4">
        <v>2.4088247910665E-3</v>
      </c>
      <c r="N7" s="4">
        <v>2.8029402204685001E-3</v>
      </c>
      <c r="O7" s="4">
        <v>3.1959443520742999E-3</v>
      </c>
      <c r="P7" s="4">
        <v>3.5872619917432999E-3</v>
      </c>
      <c r="Q7" s="4">
        <v>3.9759962446499998E-3</v>
      </c>
      <c r="R7" s="4">
        <v>4.3616415459198999E-3</v>
      </c>
      <c r="S7" s="4">
        <v>4.7445886994009001E-3</v>
      </c>
      <c r="T7" s="4">
        <v>5.1248732676851001E-3</v>
      </c>
      <c r="U7" s="4">
        <v>5.5023850395601002E-3</v>
      </c>
      <c r="V7" s="4">
        <v>5.8766220004552996E-3</v>
      </c>
      <c r="W7" s="4">
        <v>6.2474313943699997E-3</v>
      </c>
      <c r="X7" s="4">
        <v>6.6147510563905002E-3</v>
      </c>
      <c r="Y7" s="4">
        <v>6.9789764707534003E-3</v>
      </c>
      <c r="Z7" s="4">
        <v>7.3399980241160004E-3</v>
      </c>
      <c r="AA7" s="4">
        <v>7.6974805572578003E-3</v>
      </c>
      <c r="AB7" s="4">
        <v>8.0515527309817005E-3</v>
      </c>
      <c r="AC7" s="4">
        <v>8.4020407532764997E-3</v>
      </c>
      <c r="AD7" s="4">
        <v>8.7489774352633998E-3</v>
      </c>
      <c r="AE7" s="4">
        <v>0</v>
      </c>
      <c r="AF7" s="4">
        <v>0</v>
      </c>
      <c r="AG7" s="4">
        <v>0</v>
      </c>
      <c r="AH7" s="4">
        <v>0</v>
      </c>
      <c r="AI7" s="4">
        <v>4.0471061903689999E-4</v>
      </c>
      <c r="AJ7" s="4">
        <v>8.0849485111169999E-4</v>
      </c>
      <c r="AK7" s="4">
        <v>1.2112003139551999E-3</v>
      </c>
      <c r="AL7" s="4">
        <v>1.6129425661114E-3</v>
      </c>
      <c r="AM7" s="4">
        <v>2.0124719272795002E-3</v>
      </c>
      <c r="AN7" s="4">
        <v>2.4088247910665E-3</v>
      </c>
      <c r="AO7" s="4">
        <v>2.8029402204685001E-3</v>
      </c>
      <c r="AP7" s="4">
        <v>3.1959443520742999E-3</v>
      </c>
      <c r="AQ7" s="4">
        <v>3.5872619917432999E-3</v>
      </c>
      <c r="AR7" s="4">
        <v>3.9759962446499998E-3</v>
      </c>
      <c r="AS7" s="4">
        <v>4.3616415459198999E-3</v>
      </c>
      <c r="AT7" s="4">
        <v>4.7445886994009001E-3</v>
      </c>
      <c r="AU7" s="4">
        <v>5.1248732676851001E-3</v>
      </c>
      <c r="AV7" s="4">
        <v>5.5023850395601002E-3</v>
      </c>
      <c r="AW7" s="4">
        <v>5.8766220004552996E-3</v>
      </c>
      <c r="AX7" s="4">
        <v>6.2474313943699997E-3</v>
      </c>
      <c r="AY7" s="4">
        <v>6.6147510563905002E-3</v>
      </c>
      <c r="AZ7" s="4">
        <v>6.9789764707534003E-3</v>
      </c>
      <c r="BA7" s="4">
        <v>7.3399980241160004E-3</v>
      </c>
      <c r="BB7" s="4">
        <v>7.6974805572578003E-3</v>
      </c>
      <c r="BC7" s="4">
        <v>8.0515527309817005E-3</v>
      </c>
      <c r="BD7" s="4">
        <v>8.4020407532764997E-3</v>
      </c>
      <c r="BE7" s="4">
        <v>8.7489774352633998E-3</v>
      </c>
    </row>
    <row r="8" spans="1:57" x14ac:dyDescent="0.2">
      <c r="A8" s="1" t="s">
        <v>36</v>
      </c>
      <c r="B8" s="6" t="s">
        <v>102</v>
      </c>
      <c r="C8" s="6" t="s">
        <v>99</v>
      </c>
      <c r="D8" s="4">
        <v>0</v>
      </c>
      <c r="E8" s="4">
        <v>8.0235507692307776E-4</v>
      </c>
      <c r="F8" s="4">
        <v>1.6206526153846163E-3</v>
      </c>
      <c r="G8" s="4">
        <v>2.4545215384615387E-3</v>
      </c>
      <c r="H8" s="4">
        <v>3.30344123076923E-3</v>
      </c>
      <c r="I8" s="4">
        <v>4.1693630769230744E-3</v>
      </c>
      <c r="J8" s="4">
        <v>5.0482606153846154E-3</v>
      </c>
      <c r="K8" s="4">
        <v>5.9413135384615281E-3</v>
      </c>
      <c r="L8" s="4">
        <v>6.8481821538461645E-3</v>
      </c>
      <c r="M8" s="4">
        <v>7.7685313846153816E-3</v>
      </c>
      <c r="N8" s="4">
        <v>8.7020169230769273E-3</v>
      </c>
      <c r="O8" s="4">
        <v>9.6483419999999955E-3</v>
      </c>
      <c r="P8" s="4">
        <v>1.0607178461538466E-2</v>
      </c>
      <c r="Q8" s="4">
        <v>1.1578236E-2</v>
      </c>
      <c r="R8" s="4">
        <v>1.2561211384615389E-2</v>
      </c>
      <c r="S8" s="4">
        <v>1.355582769230769E-2</v>
      </c>
      <c r="T8" s="4">
        <v>1.4561774769230776E-2</v>
      </c>
      <c r="U8" s="4">
        <v>1.5578828769230772E-2</v>
      </c>
      <c r="V8" s="4">
        <v>1.6606678153846151E-2</v>
      </c>
      <c r="W8" s="4">
        <v>1.7645095384615384E-2</v>
      </c>
      <c r="X8" s="4">
        <v>1.8693812307692306E-2</v>
      </c>
      <c r="Y8" s="4">
        <v>1.9752574153846153E-2</v>
      </c>
      <c r="Z8" s="4">
        <v>2.0821162153846141E-2</v>
      </c>
      <c r="AA8" s="4">
        <v>2.1899326153846155E-2</v>
      </c>
      <c r="AB8" s="4">
        <v>2.2986875076923072E-2</v>
      </c>
      <c r="AC8" s="4">
        <v>2.4083526923076928E-2</v>
      </c>
      <c r="AD8" s="4">
        <v>2.5179719999999999E-2</v>
      </c>
      <c r="AE8" s="4">
        <v>0</v>
      </c>
      <c r="AF8" s="4">
        <v>8.0235507692307776E-4</v>
      </c>
      <c r="AG8" s="4">
        <v>1.6206526153846163E-3</v>
      </c>
      <c r="AH8" s="4">
        <v>2.4545215384615387E-3</v>
      </c>
      <c r="AI8" s="4">
        <v>3.303540923076922E-3</v>
      </c>
      <c r="AJ8" s="4">
        <v>4.1693607692307637E-3</v>
      </c>
      <c r="AK8" s="4">
        <v>5.0482523076923053E-3</v>
      </c>
      <c r="AL8" s="4">
        <v>5.9413038461538382E-3</v>
      </c>
      <c r="AM8" s="4">
        <v>6.8481599999999946E-3</v>
      </c>
      <c r="AN8" s="4">
        <v>7.7684981538461515E-3</v>
      </c>
      <c r="AO8" s="4">
        <v>8.7019707692307692E-3</v>
      </c>
      <c r="AP8" s="4">
        <v>9.6482658461538549E-3</v>
      </c>
      <c r="AQ8" s="4">
        <v>1.0607078769230775E-2</v>
      </c>
      <c r="AR8" s="4">
        <v>1.1578086000000001E-2</v>
      </c>
      <c r="AS8" s="4">
        <v>1.2561011076923078E-2</v>
      </c>
      <c r="AT8" s="4">
        <v>1.3555550769230774E-2</v>
      </c>
      <c r="AU8" s="4">
        <v>1.4561435076923092E-2</v>
      </c>
      <c r="AV8" s="4">
        <v>1.5578373692307693E-2</v>
      </c>
      <c r="AW8" s="4">
        <v>1.6606129846153846E-2</v>
      </c>
      <c r="AX8" s="4">
        <v>1.7644402615384625E-2</v>
      </c>
      <c r="AY8" s="4">
        <v>1.8692963076923072E-2</v>
      </c>
      <c r="AZ8" s="4">
        <v>1.9751575846153842E-2</v>
      </c>
      <c r="BA8" s="4">
        <v>2.0819974153846163E-2</v>
      </c>
      <c r="BB8" s="4">
        <v>2.189792492307692E-2</v>
      </c>
      <c r="BC8" s="4">
        <v>2.298523569230769E-2</v>
      </c>
      <c r="BD8" s="4">
        <v>2.4081623076923079E-2</v>
      </c>
      <c r="BE8" s="4">
        <v>2.5177560000000002E-2</v>
      </c>
    </row>
    <row r="9" spans="1:57" x14ac:dyDescent="0.2">
      <c r="A9" s="1" t="s">
        <v>37</v>
      </c>
      <c r="B9" s="6" t="s">
        <v>102</v>
      </c>
      <c r="C9" s="6" t="s">
        <v>99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-6.55393324104167E-4</v>
      </c>
      <c r="O9" s="4">
        <v>-1.3202081283333301E-3</v>
      </c>
      <c r="P9" s="4">
        <v>-1.9942403681250001E-3</v>
      </c>
      <c r="Q9" s="4">
        <v>-2.67699037E-3</v>
      </c>
      <c r="R9" s="4">
        <v>-3.3679403641666702E-3</v>
      </c>
      <c r="S9" s="4">
        <v>-4.0668857111250001E-3</v>
      </c>
      <c r="T9" s="4">
        <v>-4.7735630910625002E-3</v>
      </c>
      <c r="U9" s="4">
        <v>-5.4876759721666701E-3</v>
      </c>
      <c r="V9" s="4">
        <v>-6.2087279640000003E-3</v>
      </c>
      <c r="W9" s="4">
        <v>-6.9363889395833303E-3</v>
      </c>
      <c r="X9" s="4">
        <v>-7.6703704286458299E-3</v>
      </c>
      <c r="Y9" s="4">
        <v>-8.4106143422499995E-3</v>
      </c>
      <c r="Z9" s="4">
        <v>-9.1568578066875007E-3</v>
      </c>
      <c r="AA9" s="4">
        <v>-9.9087104060000004E-3</v>
      </c>
      <c r="AB9" s="4">
        <v>-1.0666036281874999E-2</v>
      </c>
      <c r="AC9" s="4">
        <v>-1.14285171443333E-2</v>
      </c>
      <c r="AD9" s="4">
        <v>-1.2192612821937499E-2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-6.5539074327083295E-4</v>
      </c>
      <c r="AP9" s="4">
        <v>-1.32020038583333E-3</v>
      </c>
      <c r="AQ9" s="4">
        <v>-1.994226225E-3</v>
      </c>
      <c r="AR9" s="4">
        <v>-2.6769659391666701E-3</v>
      </c>
      <c r="AS9" s="4">
        <v>-3.3678992172916701E-3</v>
      </c>
      <c r="AT9" s="4">
        <v>-4.0668279036249998E-3</v>
      </c>
      <c r="AU9" s="4">
        <v>-4.7734838452291699E-3</v>
      </c>
      <c r="AV9" s="4">
        <v>-5.4875604521666703E-3</v>
      </c>
      <c r="AW9" s="4">
        <v>-6.2085757027499997E-3</v>
      </c>
      <c r="AX9" s="4">
        <v>-6.9361855208333297E-3</v>
      </c>
      <c r="AY9" s="4">
        <v>-7.6701165807291699E-3</v>
      </c>
      <c r="AZ9" s="4">
        <v>-8.4103016972499993E-3</v>
      </c>
      <c r="BA9" s="4">
        <v>-9.1564784043958302E-3</v>
      </c>
      <c r="BB9" s="4">
        <v>-9.9082463468333406E-3</v>
      </c>
      <c r="BC9" s="4">
        <v>-1.0665475069374999E-2</v>
      </c>
      <c r="BD9" s="4">
        <v>-1.14278479643333E-2</v>
      </c>
      <c r="BE9" s="4">
        <v>-1.21918360069375E-2</v>
      </c>
    </row>
    <row r="10" spans="1:57" x14ac:dyDescent="0.2">
      <c r="A10" s="1" t="s">
        <v>38</v>
      </c>
      <c r="B10" s="6" t="s">
        <v>102</v>
      </c>
      <c r="C10" s="6" t="s">
        <v>99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-8.6809918270613407E-4</v>
      </c>
      <c r="J10" s="4">
        <v>6.6217784194934793E-4</v>
      </c>
      <c r="K10" s="4">
        <v>2.0980516822598039E-3</v>
      </c>
      <c r="L10" s="4">
        <v>3.4441579222283529E-3</v>
      </c>
      <c r="M10" s="4">
        <v>4.7049163102036188E-3</v>
      </c>
      <c r="N10" s="4">
        <v>5.8845406576886403E-3</v>
      </c>
      <c r="O10" s="4">
        <v>6.9870482775771948E-3</v>
      </c>
      <c r="P10" s="4">
        <v>8.0162689933010699E-3</v>
      </c>
      <c r="Q10" s="4">
        <v>8.9758537382650695E-3</v>
      </c>
      <c r="R10" s="4">
        <v>9.869282764077671E-3</v>
      </c>
      <c r="S10" s="4">
        <v>1.06998734752489E-2</v>
      </c>
      <c r="T10" s="4">
        <v>1.1470787907258471E-2</v>
      </c>
      <c r="U10" s="4">
        <v>1.218503986411436E-2</v>
      </c>
      <c r="V10" s="4">
        <v>1.284550173082466E-2</v>
      </c>
      <c r="W10" s="4">
        <v>1.3454910975496849E-2</v>
      </c>
      <c r="X10" s="4">
        <v>1.40158763551196E-2</v>
      </c>
      <c r="Y10" s="4">
        <v>1.4530883838464549E-2</v>
      </c>
      <c r="Z10" s="4">
        <v>1.5002302258913199E-2</v>
      </c>
      <c r="AA10" s="4">
        <v>1.5432388709467171E-2</v>
      </c>
      <c r="AB10" s="4">
        <v>1.5823293691637472E-2</v>
      </c>
      <c r="AC10" s="4">
        <v>1.6177066029359088E-2</v>
      </c>
      <c r="AD10" s="4">
        <v>1.6495657558614121E-2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-7.6497930228133803E-4</v>
      </c>
      <c r="AK10" s="4">
        <v>8.1427481678745996E-4</v>
      </c>
      <c r="AL10" s="4">
        <v>2.2991298812396498E-3</v>
      </c>
      <c r="AM10" s="4">
        <v>3.6942216331662561E-3</v>
      </c>
      <c r="AN10" s="4">
        <v>5.0039699746555737E-3</v>
      </c>
      <c r="AO10" s="4">
        <v>6.2325888628128583E-3</v>
      </c>
      <c r="AP10" s="4">
        <v>7.3840957483240098E-3</v>
      </c>
      <c r="AQ10" s="4">
        <v>8.4623205849009807E-3</v>
      </c>
      <c r="AR10" s="4">
        <v>9.4709144289889004E-3</v>
      </c>
      <c r="AS10" s="4">
        <v>1.041335764823538E-2</v>
      </c>
      <c r="AT10" s="4">
        <v>1.1292967756412961E-2</v>
      </c>
      <c r="AU10" s="4">
        <v>1.2112906891684021E-2</v>
      </c>
      <c r="AV10" s="4">
        <v>1.2876188954339361E-2</v>
      </c>
      <c r="AW10" s="4">
        <v>1.3585686419433399E-2</v>
      </c>
      <c r="AX10" s="4">
        <v>1.4244136839031189E-2</v>
      </c>
      <c r="AY10" s="4">
        <v>1.48541490481195E-2</v>
      </c>
      <c r="AZ10" s="4">
        <v>1.5418209087629239E-2</v>
      </c>
      <c r="BA10" s="4">
        <v>1.5938685857373271E-2</v>
      </c>
      <c r="BB10" s="4">
        <v>1.6417836511153701E-2</v>
      </c>
      <c r="BC10" s="4">
        <v>1.6857811605740951E-2</v>
      </c>
      <c r="BD10" s="4">
        <v>1.726066001487429E-2</v>
      </c>
      <c r="BE10" s="4">
        <v>1.7628333618959401E-2</v>
      </c>
    </row>
    <row r="11" spans="1:57" x14ac:dyDescent="0.2">
      <c r="B11" s="12" t="s">
        <v>103</v>
      </c>
    </row>
  </sheetData>
  <mergeCells count="4">
    <mergeCell ref="D2:AD2"/>
    <mergeCell ref="D1:AD1"/>
    <mergeCell ref="AE2:BE2"/>
    <mergeCell ref="AE1:B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62CF-DA59-124D-A072-56F73E47EC21}">
  <dimension ref="A1:BE1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4" sqref="A4"/>
    </sheetView>
  </sheetViews>
  <sheetFormatPr baseColWidth="10" defaultRowHeight="15" x14ac:dyDescent="0.2"/>
  <cols>
    <col min="1" max="1" width="27" bestFit="1" customWidth="1"/>
    <col min="2" max="3" width="27" customWidth="1"/>
  </cols>
  <sheetData>
    <row r="1" spans="1:57" x14ac:dyDescent="0.2">
      <c r="D1" s="11" t="s">
        <v>28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 t="s">
        <v>30</v>
      </c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</row>
    <row r="2" spans="1:57" x14ac:dyDescent="0.2">
      <c r="D2" s="11" t="s">
        <v>27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 t="s">
        <v>29</v>
      </c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</row>
    <row r="3" spans="1:57" x14ac:dyDescent="0.2">
      <c r="A3" s="3" t="s">
        <v>97</v>
      </c>
      <c r="B3" s="5" t="s">
        <v>98</v>
      </c>
      <c r="C3" s="5" t="s">
        <v>100</v>
      </c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10</v>
      </c>
      <c r="O3" s="2" t="s">
        <v>11</v>
      </c>
      <c r="P3" s="2" t="s">
        <v>12</v>
      </c>
      <c r="Q3" s="2" t="s">
        <v>13</v>
      </c>
      <c r="R3" s="2" t="s">
        <v>14</v>
      </c>
      <c r="S3" s="2" t="s">
        <v>15</v>
      </c>
      <c r="T3" s="2" t="s">
        <v>16</v>
      </c>
      <c r="U3" s="2" t="s">
        <v>17</v>
      </c>
      <c r="V3" s="2" t="s">
        <v>18</v>
      </c>
      <c r="W3" s="2" t="s">
        <v>19</v>
      </c>
      <c r="X3" s="2" t="s">
        <v>20</v>
      </c>
      <c r="Y3" s="2" t="s">
        <v>21</v>
      </c>
      <c r="Z3" s="2" t="s">
        <v>22</v>
      </c>
      <c r="AA3" s="2" t="s">
        <v>23</v>
      </c>
      <c r="AB3" s="2" t="s">
        <v>24</v>
      </c>
      <c r="AC3" s="2" t="s">
        <v>25</v>
      </c>
      <c r="AD3" s="2" t="s">
        <v>26</v>
      </c>
      <c r="AE3" s="2" t="s">
        <v>0</v>
      </c>
      <c r="AF3" s="2" t="s">
        <v>1</v>
      </c>
      <c r="AG3" s="2" t="s">
        <v>2</v>
      </c>
      <c r="AH3" s="2" t="s">
        <v>3</v>
      </c>
      <c r="AI3" s="2" t="s">
        <v>4</v>
      </c>
      <c r="AJ3" s="2" t="s">
        <v>5</v>
      </c>
      <c r="AK3" s="2" t="s">
        <v>6</v>
      </c>
      <c r="AL3" s="2" t="s">
        <v>7</v>
      </c>
      <c r="AM3" s="2" t="s">
        <v>8</v>
      </c>
      <c r="AN3" s="2" t="s">
        <v>9</v>
      </c>
      <c r="AO3" s="2" t="s">
        <v>10</v>
      </c>
      <c r="AP3" s="2" t="s">
        <v>11</v>
      </c>
      <c r="AQ3" s="2" t="s">
        <v>12</v>
      </c>
      <c r="AR3" s="2" t="s">
        <v>13</v>
      </c>
      <c r="AS3" s="2" t="s">
        <v>14</v>
      </c>
      <c r="AT3" s="2" t="s">
        <v>15</v>
      </c>
      <c r="AU3" s="2" t="s">
        <v>16</v>
      </c>
      <c r="AV3" s="2" t="s">
        <v>17</v>
      </c>
      <c r="AW3" s="2" t="s">
        <v>18</v>
      </c>
      <c r="AX3" s="2" t="s">
        <v>19</v>
      </c>
      <c r="AY3" s="2" t="s">
        <v>20</v>
      </c>
      <c r="AZ3" s="2" t="s">
        <v>21</v>
      </c>
      <c r="BA3" s="2" t="s">
        <v>22</v>
      </c>
      <c r="BB3" s="2" t="s">
        <v>23</v>
      </c>
      <c r="BC3" s="2" t="s">
        <v>24</v>
      </c>
      <c r="BD3" s="2" t="s">
        <v>25</v>
      </c>
      <c r="BE3" s="2" t="s">
        <v>26</v>
      </c>
    </row>
    <row r="4" spans="1:57" x14ac:dyDescent="0.2">
      <c r="A4" s="1" t="s">
        <v>32</v>
      </c>
      <c r="B4" s="6" t="s">
        <v>99</v>
      </c>
      <c r="C4" s="4">
        <v>0.03</v>
      </c>
      <c r="D4" s="4">
        <f>+$C4*capex!D4</f>
        <v>0</v>
      </c>
      <c r="E4" s="4">
        <f>+$C4*capex!E4</f>
        <v>0</v>
      </c>
      <c r="F4" s="4">
        <f>+$C4*capex!F4</f>
        <v>0</v>
      </c>
      <c r="G4" s="4">
        <f>+$C4*capex!G4</f>
        <v>0</v>
      </c>
      <c r="H4" s="4">
        <f>+$C4*capex!H4</f>
        <v>1.9977631268790241E-5</v>
      </c>
      <c r="I4" s="4">
        <f>+$C4*capex!I4</f>
        <v>3.9962932602666297E-5</v>
      </c>
      <c r="J4" s="4">
        <f>+$C4*capex!J4</f>
        <v>5.9955889704033602E-5</v>
      </c>
      <c r="K4" s="4">
        <f>+$C4*capex!K4</f>
        <v>7.9956960397495504E-5</v>
      </c>
      <c r="L4" s="4">
        <f>+$C4*capex!L4</f>
        <v>9.9964051124077499E-5</v>
      </c>
      <c r="M4" s="4">
        <f>+$C4*capex!M4</f>
        <v>1.1997539773520338E-4</v>
      </c>
      <c r="N4" s="4">
        <f>+$C4*capex!N4</f>
        <v>1.3999284544590182E-4</v>
      </c>
      <c r="O4" s="4">
        <f>+$C4*capex!O4</f>
        <v>1.6001876778263491E-4</v>
      </c>
      <c r="P4" s="4">
        <f>+$C4*capex!P4</f>
        <v>1.8005223129507599E-4</v>
      </c>
      <c r="Q4" s="4">
        <f>+$C4*capex!Q4</f>
        <v>2.0009153109047309E-4</v>
      </c>
      <c r="R4" s="4">
        <f>+$C4*capex!R4</f>
        <v>2.2013564441586899E-4</v>
      </c>
      <c r="S4" s="4">
        <f>+$C4*capex!S4</f>
        <v>2.4018542398810888E-4</v>
      </c>
      <c r="T4" s="4">
        <f>+$C4*capex!T4</f>
        <v>2.6024099984154865E-4</v>
      </c>
      <c r="U4" s="4">
        <f>+$C4*capex!U4</f>
        <v>2.8030217633193718E-4</v>
      </c>
      <c r="V4" s="4">
        <f>+$C4*capex!V4</f>
        <v>3.0036782429091602E-4</v>
      </c>
      <c r="W4" s="4">
        <f>+$C4*capex!W4</f>
        <v>3.2043755865246296E-4</v>
      </c>
      <c r="X4" s="4">
        <f>+$C4*capex!X4</f>
        <v>3.4051118317028996E-4</v>
      </c>
      <c r="Y4" s="4">
        <f>+$C4*capex!Y4</f>
        <v>3.60589608180147E-4</v>
      </c>
      <c r="Z4" s="4">
        <f>+$C4*capex!Z4</f>
        <v>3.8067255128866498E-4</v>
      </c>
      <c r="AA4" s="4">
        <f>+$C4*capex!AA4</f>
        <v>4.0075914466467601E-4</v>
      </c>
      <c r="AB4" s="4">
        <f>+$C4*capex!AB4</f>
        <v>4.2084964996844701E-4</v>
      </c>
      <c r="AC4" s="4">
        <f>+$C4*capex!AC4</f>
        <v>4.4094356377490698E-4</v>
      </c>
      <c r="AD4" s="4">
        <f>+$C4*capex!AD4</f>
        <v>4.6104088413346199E-4</v>
      </c>
      <c r="AE4" s="4">
        <f>+$C4*capex!AE4</f>
        <v>0</v>
      </c>
      <c r="AF4" s="4">
        <f>+$C4*capex!AF4</f>
        <v>0</v>
      </c>
      <c r="AG4" s="4">
        <f>+$C4*capex!AG4</f>
        <v>0</v>
      </c>
      <c r="AH4" s="4">
        <f>+$C4*capex!AH4</f>
        <v>0</v>
      </c>
      <c r="AI4" s="4">
        <f>+$C4*capex!AI4</f>
        <v>1.4630598606346415E-4</v>
      </c>
      <c r="AJ4" s="4">
        <f>+$C4*capex!AJ4</f>
        <v>2.92587193300027E-4</v>
      </c>
      <c r="AK4" s="4">
        <f>+$C4*capex!AK4</f>
        <v>4.3884364136999483E-4</v>
      </c>
      <c r="AL4" s="4">
        <f>+$C4*capex!AL4</f>
        <v>5.850761607887325E-4</v>
      </c>
      <c r="AM4" s="4">
        <f>+$C4*capex!AM4</f>
        <v>7.3128131399936001E-4</v>
      </c>
      <c r="AN4" s="4">
        <f>+$C4*capex!AN4</f>
        <v>8.7745631340819337E-4</v>
      </c>
      <c r="AO4" s="4">
        <f>+$C4*capex!AO4</f>
        <v>1.0236044134015211E-3</v>
      </c>
      <c r="AP4" s="4">
        <f>+$C4*capex!AP4</f>
        <v>1.1697296566618187E-3</v>
      </c>
      <c r="AQ4" s="4">
        <f>+$C4*capex!AQ4</f>
        <v>1.3158306145356115E-3</v>
      </c>
      <c r="AR4" s="4">
        <f>+$C4*capex!AR4</f>
        <v>1.461904658622373E-3</v>
      </c>
      <c r="AS4" s="4">
        <f>+$C4*capex!AS4</f>
        <v>1.6079503293303572E-3</v>
      </c>
      <c r="AT4" s="4">
        <f>+$C4*capex!AT4</f>
        <v>1.7539692112693587E-3</v>
      </c>
      <c r="AU4" s="4">
        <f>+$C4*capex!AU4</f>
        <v>1.8999617143807403E-3</v>
      </c>
      <c r="AV4" s="4">
        <f>+$C4*capex!AV4</f>
        <v>2.0459277334535114E-3</v>
      </c>
      <c r="AW4" s="4">
        <f>+$C4*capex!AW4</f>
        <v>2.1918656999872629E-3</v>
      </c>
      <c r="AX4" s="4">
        <f>+$C4*capex!AX4</f>
        <v>2.3377752561584406E-3</v>
      </c>
      <c r="AY4" s="4">
        <f>+$C4*capex!AY4</f>
        <v>2.4836563517095229E-3</v>
      </c>
      <c r="AZ4" s="4">
        <f>+$C4*capex!AZ4</f>
        <v>2.6295106612083713E-3</v>
      </c>
      <c r="BA4" s="4">
        <f>+$C4*capex!BA4</f>
        <v>2.7753379905360743E-3</v>
      </c>
      <c r="BB4" s="4">
        <f>+$C4*capex!BB4</f>
        <v>2.9211372600188535E-3</v>
      </c>
      <c r="BC4" s="4">
        <f>+$C4*capex!BC4</f>
        <v>3.0669091415717769E-3</v>
      </c>
      <c r="BD4" s="4">
        <f>+$C4*capex!BD4</f>
        <v>3.2126531398357565E-3</v>
      </c>
      <c r="BE4" s="4">
        <f>+$C4*capex!BE4</f>
        <v>3.3583695230966488E-3</v>
      </c>
    </row>
    <row r="5" spans="1:57" s="10" customFormat="1" x14ac:dyDescent="0.2">
      <c r="A5" s="7" t="s">
        <v>33</v>
      </c>
      <c r="B5" s="8" t="s">
        <v>99</v>
      </c>
      <c r="C5" s="9">
        <v>4.4999999999999998E-2</v>
      </c>
      <c r="D5" s="9">
        <f>+$C5*capex!D5</f>
        <v>0</v>
      </c>
      <c r="E5" s="9">
        <f>+$C5*capex!E5</f>
        <v>0</v>
      </c>
      <c r="F5" s="9">
        <f>+$C5*capex!F5</f>
        <v>0</v>
      </c>
      <c r="G5" s="9">
        <f>+$C5*capex!G5</f>
        <v>0</v>
      </c>
      <c r="H5" s="9">
        <f>+$C5*capex!H5</f>
        <v>1.393496499417213E-4</v>
      </c>
      <c r="I5" s="9">
        <f>+$C5*capex!I5</f>
        <v>2.7521783781093214E-4</v>
      </c>
      <c r="J5" s="9">
        <f>+$C5*capex!J5</f>
        <v>4.0785656430553248E-4</v>
      </c>
      <c r="K5" s="9">
        <f>+$C5*capex!K5</f>
        <v>5.3753593224483516E-4</v>
      </c>
      <c r="L5" s="9">
        <f>+$C5*capex!L5</f>
        <v>6.6446760894846128E-4</v>
      </c>
      <c r="M5" s="9">
        <f>+$C5*capex!M5</f>
        <v>7.8879480556513315E-4</v>
      </c>
      <c r="N5" s="9">
        <f>+$C5*capex!N5</f>
        <v>9.1068784640158606E-4</v>
      </c>
      <c r="O5" s="9">
        <f>+$C5*capex!O5</f>
        <v>1.0303870570668159E-3</v>
      </c>
      <c r="P5" s="9">
        <f>+$C5*capex!P5</f>
        <v>1.1481289869681383E-3</v>
      </c>
      <c r="Q5" s="9">
        <f>+$C5*capex!Q5</f>
        <v>1.2641002699390566E-3</v>
      </c>
      <c r="R5" s="9">
        <f>+$C5*capex!R5</f>
        <v>1.3784420352073029E-3</v>
      </c>
      <c r="S5" s="9">
        <f>+$C5*capex!S5</f>
        <v>1.4912961903270495E-3</v>
      </c>
      <c r="T5" s="9">
        <f>+$C5*capex!T5</f>
        <v>1.6028120295274479E-3</v>
      </c>
      <c r="U5" s="9">
        <f>+$C5*capex!U5</f>
        <v>1.7131335793050403E-3</v>
      </c>
      <c r="V5" s="9">
        <f>+$C5*capex!V5</f>
        <v>1.8223781836481964E-3</v>
      </c>
      <c r="W5" s="9">
        <f>+$C5*capex!W5</f>
        <v>1.930637201687332E-3</v>
      </c>
      <c r="X5" s="9">
        <f>+$C5*capex!X5</f>
        <v>2.0379914173583734E-3</v>
      </c>
      <c r="Y5" s="9">
        <f>+$C5*capex!Y5</f>
        <v>2.1445340269416516E-3</v>
      </c>
      <c r="Z5" s="9">
        <f>+$C5*capex!Z5</f>
        <v>2.2503712467631699E-3</v>
      </c>
      <c r="AA5" s="9">
        <f>+$C5*capex!AA5</f>
        <v>2.3555922031762901E-3</v>
      </c>
      <c r="AB5" s="9">
        <f>+$C5*capex!AB5</f>
        <v>2.4602758450520241E-3</v>
      </c>
      <c r="AC5" s="9">
        <f>+$C5*capex!AC5</f>
        <v>2.5645020880843894E-3</v>
      </c>
      <c r="AD5" s="9">
        <f>+$C5*capex!AD5</f>
        <v>2.6683443732490328E-3</v>
      </c>
      <c r="AE5" s="9">
        <f>+$C5*capex!AE5</f>
        <v>0</v>
      </c>
      <c r="AF5" s="9">
        <f>+$C5*capex!AF5</f>
        <v>0</v>
      </c>
      <c r="AG5" s="9">
        <f>+$C5*capex!AG5</f>
        <v>0</v>
      </c>
      <c r="AH5" s="9">
        <f>+$C5*capex!AH5</f>
        <v>0</v>
      </c>
      <c r="AI5" s="9">
        <f>+$C5*capex!AI5</f>
        <v>1.5802987210180881E-4</v>
      </c>
      <c r="AJ5" s="9">
        <f>+$C5*capex!AJ5</f>
        <v>3.1386547580149719E-4</v>
      </c>
      <c r="AK5" s="9">
        <f>+$C5*capex!AK5</f>
        <v>4.6759245320239127E-4</v>
      </c>
      <c r="AL5" s="9">
        <f>+$C5*capex!AL5</f>
        <v>6.1934637710993042E-4</v>
      </c>
      <c r="AM5" s="9">
        <f>+$C5*capex!AM5</f>
        <v>7.6920635491639828E-4</v>
      </c>
      <c r="AN5" s="9">
        <f>+$C5*capex!AN5</f>
        <v>9.1719042853711825E-4</v>
      </c>
      <c r="AO5" s="9">
        <f>+$C5*capex!AO5</f>
        <v>1.0633820057762253E-3</v>
      </c>
      <c r="AP5" s="9">
        <f>+$C5*capex!AP5</f>
        <v>1.2079684997620202E-3</v>
      </c>
      <c r="AQ5" s="9">
        <f>+$C5*capex!AQ5</f>
        <v>1.351134232674464E-3</v>
      </c>
      <c r="AR5" s="9">
        <f>+$C5*capex!AR5</f>
        <v>1.4930117714336696E-3</v>
      </c>
      <c r="AS5" s="9">
        <f>+$C5*capex!AS5</f>
        <v>1.633691844141546E-3</v>
      </c>
      <c r="AT5" s="9">
        <f>+$C5*capex!AT5</f>
        <v>1.7732841120364923E-3</v>
      </c>
      <c r="AU5" s="9">
        <f>+$C5*capex!AU5</f>
        <v>1.9119133674345317E-3</v>
      </c>
      <c r="AV5" s="9">
        <f>+$C5*capex!AV5</f>
        <v>2.0497043543437768E-3</v>
      </c>
      <c r="AW5" s="9">
        <f>+$C5*capex!AW5</f>
        <v>2.1867516345290476E-3</v>
      </c>
      <c r="AX5" s="9">
        <f>+$C5*capex!AX5</f>
        <v>2.3231272122718753E-3</v>
      </c>
      <c r="AY5" s="9">
        <f>+$C5*capex!AY5</f>
        <v>2.458896359947674E-3</v>
      </c>
      <c r="AZ5" s="9">
        <f>+$C5*capex!AZ5</f>
        <v>2.5941498726778619E-3</v>
      </c>
      <c r="BA5" s="9">
        <f>+$C5*capex!BA5</f>
        <v>2.7289932570514269E-3</v>
      </c>
      <c r="BB5" s="9">
        <f>+$C5*capex!BB5</f>
        <v>2.8635118127284397E-3</v>
      </c>
      <c r="BC5" s="9">
        <f>+$C5*capex!BC5</f>
        <v>2.9977873272262969E-3</v>
      </c>
      <c r="BD5" s="9">
        <f>+$C5*capex!BD5</f>
        <v>3.1319020839510612E-3</v>
      </c>
      <c r="BE5" s="9">
        <f>+$C5*capex!BE5</f>
        <v>3.2659357176335305E-3</v>
      </c>
    </row>
    <row r="6" spans="1:57" s="10" customFormat="1" x14ac:dyDescent="0.2">
      <c r="A6" s="7" t="s">
        <v>34</v>
      </c>
      <c r="B6" s="8" t="s">
        <v>99</v>
      </c>
      <c r="C6" s="9">
        <v>4.4999999999999998E-2</v>
      </c>
      <c r="D6" s="9">
        <f>+$C6*capex!D6</f>
        <v>0</v>
      </c>
      <c r="E6" s="9">
        <f>+$C6*capex!E6</f>
        <v>0</v>
      </c>
      <c r="F6" s="9">
        <f>+$C6*capex!F6</f>
        <v>0</v>
      </c>
      <c r="G6" s="9">
        <f>+$C6*capex!G6</f>
        <v>0</v>
      </c>
      <c r="H6" s="9">
        <f>+$C6*capex!H6</f>
        <v>0</v>
      </c>
      <c r="I6" s="9">
        <f>+$C6*capex!I6</f>
        <v>0</v>
      </c>
      <c r="J6" s="9">
        <f>+$C6*capex!J6</f>
        <v>0</v>
      </c>
      <c r="K6" s="9">
        <f>+$C6*capex!K6</f>
        <v>0</v>
      </c>
      <c r="L6" s="9">
        <f>+$C6*capex!L6</f>
        <v>0</v>
      </c>
      <c r="M6" s="9">
        <f>+$C6*capex!M6</f>
        <v>0</v>
      </c>
      <c r="N6" s="9">
        <f>+$C6*capex!N6</f>
        <v>0</v>
      </c>
      <c r="O6" s="9">
        <f>+$C6*capex!O6</f>
        <v>0</v>
      </c>
      <c r="P6" s="9">
        <f>+$C6*capex!P6</f>
        <v>0</v>
      </c>
      <c r="Q6" s="9">
        <f>+$C6*capex!Q6</f>
        <v>0</v>
      </c>
      <c r="R6" s="9">
        <f>+$C6*capex!R6</f>
        <v>0</v>
      </c>
      <c r="S6" s="9">
        <f>+$C6*capex!S6</f>
        <v>0</v>
      </c>
      <c r="T6" s="9">
        <f>+$C6*capex!T6</f>
        <v>0</v>
      </c>
      <c r="U6" s="9">
        <f>+$C6*capex!U6</f>
        <v>0</v>
      </c>
      <c r="V6" s="9">
        <f>+$C6*capex!V6</f>
        <v>0</v>
      </c>
      <c r="W6" s="9">
        <f>+$C6*capex!W6</f>
        <v>0</v>
      </c>
      <c r="X6" s="9">
        <f>+$C6*capex!X6</f>
        <v>0</v>
      </c>
      <c r="Y6" s="9">
        <f>+$C6*capex!Y6</f>
        <v>0</v>
      </c>
      <c r="Z6" s="9">
        <f>+$C6*capex!Z6</f>
        <v>0</v>
      </c>
      <c r="AA6" s="9">
        <f>+$C6*capex!AA6</f>
        <v>0</v>
      </c>
      <c r="AB6" s="9">
        <f>+$C6*capex!AB6</f>
        <v>0</v>
      </c>
      <c r="AC6" s="9">
        <f>+$C6*capex!AC6</f>
        <v>0</v>
      </c>
      <c r="AD6" s="9">
        <f>+$C6*capex!AD6</f>
        <v>0</v>
      </c>
      <c r="AE6" s="9">
        <f>+$C6*capex!AE6</f>
        <v>0</v>
      </c>
      <c r="AF6" s="9">
        <f>+$C6*capex!AF6</f>
        <v>0</v>
      </c>
      <c r="AG6" s="9">
        <f>+$C6*capex!AG6</f>
        <v>0</v>
      </c>
      <c r="AH6" s="9">
        <f>+$C6*capex!AH6</f>
        <v>0</v>
      </c>
      <c r="AI6" s="9">
        <f>+$C6*capex!AI6</f>
        <v>0</v>
      </c>
      <c r="AJ6" s="9">
        <f>+$C6*capex!AJ6</f>
        <v>0</v>
      </c>
      <c r="AK6" s="9">
        <f>+$C6*capex!AK6</f>
        <v>0</v>
      </c>
      <c r="AL6" s="9">
        <f>+$C6*capex!AL6</f>
        <v>0</v>
      </c>
      <c r="AM6" s="9">
        <f>+$C6*capex!AM6</f>
        <v>0</v>
      </c>
      <c r="AN6" s="9">
        <f>+$C6*capex!AN6</f>
        <v>0</v>
      </c>
      <c r="AO6" s="9">
        <f>+$C6*capex!AO6</f>
        <v>0</v>
      </c>
      <c r="AP6" s="9">
        <f>+$C6*capex!AP6</f>
        <v>0</v>
      </c>
      <c r="AQ6" s="9">
        <f>+$C6*capex!AQ6</f>
        <v>0</v>
      </c>
      <c r="AR6" s="9">
        <f>+$C6*capex!AR6</f>
        <v>0</v>
      </c>
      <c r="AS6" s="9">
        <f>+$C6*capex!AS6</f>
        <v>0</v>
      </c>
      <c r="AT6" s="9">
        <f>+$C6*capex!AT6</f>
        <v>0</v>
      </c>
      <c r="AU6" s="9">
        <f>+$C6*capex!AU6</f>
        <v>0</v>
      </c>
      <c r="AV6" s="9">
        <f>+$C6*capex!AV6</f>
        <v>0</v>
      </c>
      <c r="AW6" s="9">
        <f>+$C6*capex!AW6</f>
        <v>0</v>
      </c>
      <c r="AX6" s="9">
        <f>+$C6*capex!AX6</f>
        <v>0</v>
      </c>
      <c r="AY6" s="9">
        <f>+$C6*capex!AY6</f>
        <v>0</v>
      </c>
      <c r="AZ6" s="9">
        <f>+$C6*capex!AZ6</f>
        <v>0</v>
      </c>
      <c r="BA6" s="9">
        <f>+$C6*capex!BA6</f>
        <v>0</v>
      </c>
      <c r="BB6" s="9">
        <f>+$C6*capex!BB6</f>
        <v>0</v>
      </c>
      <c r="BC6" s="9">
        <f>+$C6*capex!BC6</f>
        <v>0</v>
      </c>
      <c r="BD6" s="9">
        <f>+$C6*capex!BD6</f>
        <v>0</v>
      </c>
      <c r="BE6" s="9">
        <f>+$C6*capex!BE6</f>
        <v>0</v>
      </c>
    </row>
    <row r="7" spans="1:57" x14ac:dyDescent="0.2">
      <c r="A7" s="1" t="s">
        <v>35</v>
      </c>
      <c r="B7" s="6" t="s">
        <v>99</v>
      </c>
      <c r="C7" s="4">
        <v>0.03</v>
      </c>
      <c r="D7" s="4">
        <f>+$C7*capex!D7</f>
        <v>0</v>
      </c>
      <c r="E7" s="4">
        <f>+$C7*capex!E7</f>
        <v>0</v>
      </c>
      <c r="F7" s="4">
        <f>+$C7*capex!F7</f>
        <v>0</v>
      </c>
      <c r="G7" s="4">
        <f>+$C7*capex!G7</f>
        <v>0</v>
      </c>
      <c r="H7" s="4">
        <f>+$C7*capex!H7</f>
        <v>1.2141318571106999E-5</v>
      </c>
      <c r="I7" s="4">
        <f>+$C7*capex!I7</f>
        <v>2.4254845533350999E-5</v>
      </c>
      <c r="J7" s="4">
        <f>+$C7*capex!J7</f>
        <v>3.6336009418655992E-5</v>
      </c>
      <c r="K7" s="4">
        <f>+$C7*capex!K7</f>
        <v>4.8388276983341995E-5</v>
      </c>
      <c r="L7" s="4">
        <f>+$C7*capex!L7</f>
        <v>6.0374157818385003E-5</v>
      </c>
      <c r="M7" s="4">
        <f>+$C7*capex!M7</f>
        <v>7.2264743731995001E-5</v>
      </c>
      <c r="N7" s="4">
        <f>+$C7*capex!N7</f>
        <v>8.4088206614055006E-5</v>
      </c>
      <c r="O7" s="4">
        <f>+$C7*capex!O7</f>
        <v>9.587833056222899E-5</v>
      </c>
      <c r="P7" s="4">
        <f>+$C7*capex!P7</f>
        <v>1.07617859752299E-4</v>
      </c>
      <c r="Q7" s="4">
        <f>+$C7*capex!Q7</f>
        <v>1.1927988733949999E-4</v>
      </c>
      <c r="R7" s="4">
        <f>+$C7*capex!R7</f>
        <v>1.30849246377597E-4</v>
      </c>
      <c r="S7" s="4">
        <f>+$C7*capex!S7</f>
        <v>1.4233766098202701E-4</v>
      </c>
      <c r="T7" s="4">
        <f>+$C7*capex!T7</f>
        <v>1.5374619803055299E-4</v>
      </c>
      <c r="U7" s="4">
        <f>+$C7*capex!U7</f>
        <v>1.6507155118680299E-4</v>
      </c>
      <c r="V7" s="4">
        <f>+$C7*capex!V7</f>
        <v>1.7629866001365899E-4</v>
      </c>
      <c r="W7" s="4">
        <f>+$C7*capex!W7</f>
        <v>1.8742294183109998E-4</v>
      </c>
      <c r="X7" s="4">
        <f>+$C7*capex!X7</f>
        <v>1.98442531691715E-4</v>
      </c>
      <c r="Y7" s="4">
        <f>+$C7*capex!Y7</f>
        <v>2.09369294122602E-4</v>
      </c>
      <c r="Z7" s="4">
        <f>+$C7*capex!Z7</f>
        <v>2.2019994072348001E-4</v>
      </c>
      <c r="AA7" s="4">
        <f>+$C7*capex!AA7</f>
        <v>2.30924416717734E-4</v>
      </c>
      <c r="AB7" s="4">
        <f>+$C7*capex!AB7</f>
        <v>2.4154658192945101E-4</v>
      </c>
      <c r="AC7" s="4">
        <f>+$C7*capex!AC7</f>
        <v>2.5206122259829498E-4</v>
      </c>
      <c r="AD7" s="4">
        <f>+$C7*capex!AD7</f>
        <v>2.6246932305790197E-4</v>
      </c>
      <c r="AE7" s="4">
        <f>+$C7*capex!AE7</f>
        <v>0</v>
      </c>
      <c r="AF7" s="4">
        <f>+$C7*capex!AF7</f>
        <v>0</v>
      </c>
      <c r="AG7" s="4">
        <f>+$C7*capex!AG7</f>
        <v>0</v>
      </c>
      <c r="AH7" s="4">
        <f>+$C7*capex!AH7</f>
        <v>0</v>
      </c>
      <c r="AI7" s="4">
        <f>+$C7*capex!AI7</f>
        <v>1.2141318571106999E-5</v>
      </c>
      <c r="AJ7" s="4">
        <f>+$C7*capex!AJ7</f>
        <v>2.4254845533350999E-5</v>
      </c>
      <c r="AK7" s="4">
        <f>+$C7*capex!AK7</f>
        <v>3.6336009418655992E-5</v>
      </c>
      <c r="AL7" s="4">
        <f>+$C7*capex!AL7</f>
        <v>4.8388276983341995E-5</v>
      </c>
      <c r="AM7" s="4">
        <f>+$C7*capex!AM7</f>
        <v>6.0374157818385003E-5</v>
      </c>
      <c r="AN7" s="4">
        <f>+$C7*capex!AN7</f>
        <v>7.2264743731995001E-5</v>
      </c>
      <c r="AO7" s="4">
        <f>+$C7*capex!AO7</f>
        <v>8.4088206614055006E-5</v>
      </c>
      <c r="AP7" s="4">
        <f>+$C7*capex!AP7</f>
        <v>9.587833056222899E-5</v>
      </c>
      <c r="AQ7" s="4">
        <f>+$C7*capex!AQ7</f>
        <v>1.07617859752299E-4</v>
      </c>
      <c r="AR7" s="4">
        <f>+$C7*capex!AR7</f>
        <v>1.1927988733949999E-4</v>
      </c>
      <c r="AS7" s="4">
        <f>+$C7*capex!AS7</f>
        <v>1.30849246377597E-4</v>
      </c>
      <c r="AT7" s="4">
        <f>+$C7*capex!AT7</f>
        <v>1.4233766098202701E-4</v>
      </c>
      <c r="AU7" s="4">
        <f>+$C7*capex!AU7</f>
        <v>1.5374619803055299E-4</v>
      </c>
      <c r="AV7" s="4">
        <f>+$C7*capex!AV7</f>
        <v>1.6507155118680299E-4</v>
      </c>
      <c r="AW7" s="4">
        <f>+$C7*capex!AW7</f>
        <v>1.7629866001365899E-4</v>
      </c>
      <c r="AX7" s="4">
        <f>+$C7*capex!AX7</f>
        <v>1.8742294183109998E-4</v>
      </c>
      <c r="AY7" s="4">
        <f>+$C7*capex!AY7</f>
        <v>1.98442531691715E-4</v>
      </c>
      <c r="AZ7" s="4">
        <f>+$C7*capex!AZ7</f>
        <v>2.09369294122602E-4</v>
      </c>
      <c r="BA7" s="4">
        <f>+$C7*capex!BA7</f>
        <v>2.2019994072348001E-4</v>
      </c>
      <c r="BB7" s="4">
        <f>+$C7*capex!BB7</f>
        <v>2.30924416717734E-4</v>
      </c>
      <c r="BC7" s="4">
        <f>+$C7*capex!BC7</f>
        <v>2.4154658192945101E-4</v>
      </c>
      <c r="BD7" s="4">
        <f>+$C7*capex!BD7</f>
        <v>2.5206122259829498E-4</v>
      </c>
      <c r="BE7" s="4">
        <f>+$C7*capex!BE7</f>
        <v>2.6246932305790197E-4</v>
      </c>
    </row>
    <row r="8" spans="1:57" x14ac:dyDescent="0.2">
      <c r="A8" s="1" t="s">
        <v>36</v>
      </c>
      <c r="B8" s="6" t="s">
        <v>99</v>
      </c>
      <c r="C8" s="4">
        <v>0.03</v>
      </c>
      <c r="D8" s="4">
        <f>+$C8*capex!D8</f>
        <v>0</v>
      </c>
      <c r="E8" s="4">
        <f>+$C8*capex!E8</f>
        <v>2.4070652307692333E-5</v>
      </c>
      <c r="F8" s="4">
        <f>+$C8*capex!F8</f>
        <v>4.8619578461538486E-5</v>
      </c>
      <c r="G8" s="4">
        <f>+$C8*capex!G8</f>
        <v>7.3635646153846163E-5</v>
      </c>
      <c r="H8" s="4">
        <f>+$C8*capex!H8</f>
        <v>9.9103236923076891E-5</v>
      </c>
      <c r="I8" s="4">
        <f>+$C8*capex!I8</f>
        <v>1.2508089230769221E-4</v>
      </c>
      <c r="J8" s="4">
        <f>+$C8*capex!J8</f>
        <v>1.5144781846153845E-4</v>
      </c>
      <c r="K8" s="4">
        <f>+$C8*capex!K8</f>
        <v>1.7823940615384584E-4</v>
      </c>
      <c r="L8" s="4">
        <f>+$C8*capex!L8</f>
        <v>2.0544546461538494E-4</v>
      </c>
      <c r="M8" s="4">
        <f>+$C8*capex!M8</f>
        <v>2.3305594153846145E-4</v>
      </c>
      <c r="N8" s="4">
        <f>+$C8*capex!N8</f>
        <v>2.6106050769230782E-4</v>
      </c>
      <c r="O8" s="4">
        <f>+$C8*capex!O8</f>
        <v>2.8945025999999984E-4</v>
      </c>
      <c r="P8" s="4">
        <f>+$C8*capex!P8</f>
        <v>3.1821535384615393E-4</v>
      </c>
      <c r="Q8" s="4">
        <f>+$C8*capex!Q8</f>
        <v>3.4734708000000003E-4</v>
      </c>
      <c r="R8" s="4">
        <f>+$C8*capex!R8</f>
        <v>3.7683634153846165E-4</v>
      </c>
      <c r="S8" s="4">
        <f>+$C8*capex!S8</f>
        <v>4.0667483076923069E-4</v>
      </c>
      <c r="T8" s="4">
        <f>+$C8*capex!T8</f>
        <v>4.3685324307692324E-4</v>
      </c>
      <c r="U8" s="4">
        <f>+$C8*capex!U8</f>
        <v>4.6736486307692314E-4</v>
      </c>
      <c r="V8" s="4">
        <f>+$C8*capex!V8</f>
        <v>4.9820034461538448E-4</v>
      </c>
      <c r="W8" s="4">
        <f>+$C8*capex!W8</f>
        <v>5.2935286153846153E-4</v>
      </c>
      <c r="X8" s="4">
        <f>+$C8*capex!X8</f>
        <v>5.608143692307692E-4</v>
      </c>
      <c r="Y8" s="4">
        <f>+$C8*capex!Y8</f>
        <v>5.9257722461538462E-4</v>
      </c>
      <c r="Z8" s="4">
        <f>+$C8*capex!Z8</f>
        <v>6.2463486461538417E-4</v>
      </c>
      <c r="AA8" s="4">
        <f>+$C8*capex!AA8</f>
        <v>6.5697978461538463E-4</v>
      </c>
      <c r="AB8" s="4">
        <f>+$C8*capex!AB8</f>
        <v>6.8960625230769215E-4</v>
      </c>
      <c r="AC8" s="4">
        <f>+$C8*capex!AC8</f>
        <v>7.2250580769230781E-4</v>
      </c>
      <c r="AD8" s="4">
        <f>+$C8*capex!AD8</f>
        <v>7.5539159999999999E-4</v>
      </c>
      <c r="AE8" s="4">
        <f>+$C8*capex!AE8</f>
        <v>0</v>
      </c>
      <c r="AF8" s="4">
        <f>+$C8*capex!AF8</f>
        <v>2.4070652307692333E-5</v>
      </c>
      <c r="AG8" s="4">
        <f>+$C8*capex!AG8</f>
        <v>4.8619578461538486E-5</v>
      </c>
      <c r="AH8" s="4">
        <f>+$C8*capex!AH8</f>
        <v>7.3635646153846163E-5</v>
      </c>
      <c r="AI8" s="4">
        <f>+$C8*capex!AI8</f>
        <v>9.9106227692307658E-5</v>
      </c>
      <c r="AJ8" s="4">
        <f>+$C8*capex!AJ8</f>
        <v>1.250808230769229E-4</v>
      </c>
      <c r="AK8" s="4">
        <f>+$C8*capex!AK8</f>
        <v>1.5144756923076916E-4</v>
      </c>
      <c r="AL8" s="4">
        <f>+$C8*capex!AL8</f>
        <v>1.7823911538461515E-4</v>
      </c>
      <c r="AM8" s="4">
        <f>+$C8*capex!AM8</f>
        <v>2.0544479999999983E-4</v>
      </c>
      <c r="AN8" s="4">
        <f>+$C8*capex!AN8</f>
        <v>2.3305494461538454E-4</v>
      </c>
      <c r="AO8" s="4">
        <f>+$C8*capex!AO8</f>
        <v>2.6105912307692307E-4</v>
      </c>
      <c r="AP8" s="4">
        <f>+$C8*capex!AP8</f>
        <v>2.8944797538461565E-4</v>
      </c>
      <c r="AQ8" s="4">
        <f>+$C8*capex!AQ8</f>
        <v>3.1821236307692324E-4</v>
      </c>
      <c r="AR8" s="4">
        <f>+$C8*capex!AR8</f>
        <v>3.4734258000000001E-4</v>
      </c>
      <c r="AS8" s="4">
        <f>+$C8*capex!AS8</f>
        <v>3.768303323076923E-4</v>
      </c>
      <c r="AT8" s="4">
        <f>+$C8*capex!AT8</f>
        <v>4.0666652307692322E-4</v>
      </c>
      <c r="AU8" s="4">
        <f>+$C8*capex!AU8</f>
        <v>4.3684305230769276E-4</v>
      </c>
      <c r="AV8" s="4">
        <f>+$C8*capex!AV8</f>
        <v>4.6735121076923081E-4</v>
      </c>
      <c r="AW8" s="4">
        <f>+$C8*capex!AW8</f>
        <v>4.9818389538461533E-4</v>
      </c>
      <c r="AX8" s="4">
        <f>+$C8*capex!AX8</f>
        <v>5.2933207846153879E-4</v>
      </c>
      <c r="AY8" s="4">
        <f>+$C8*capex!AY8</f>
        <v>5.6078889230769214E-4</v>
      </c>
      <c r="AZ8" s="4">
        <f>+$C8*capex!AZ8</f>
        <v>5.9254727538461519E-4</v>
      </c>
      <c r="BA8" s="4">
        <f>+$C8*capex!BA8</f>
        <v>6.2459922461538487E-4</v>
      </c>
      <c r="BB8" s="4">
        <f>+$C8*capex!BB8</f>
        <v>6.5693774769230761E-4</v>
      </c>
      <c r="BC8" s="4">
        <f>+$C8*capex!BC8</f>
        <v>6.8955707076923068E-4</v>
      </c>
      <c r="BD8" s="4">
        <f>+$C8*capex!BD8</f>
        <v>7.2244869230769239E-4</v>
      </c>
      <c r="BE8" s="4">
        <f>+$C8*capex!BE8</f>
        <v>7.5532680000000001E-4</v>
      </c>
    </row>
    <row r="9" spans="1:57" x14ac:dyDescent="0.2">
      <c r="A9" s="1" t="s">
        <v>37</v>
      </c>
      <c r="B9" s="6" t="s">
        <v>99</v>
      </c>
      <c r="C9" s="4">
        <v>0.03</v>
      </c>
      <c r="D9" s="4">
        <f>+$C9*capex!D9</f>
        <v>0</v>
      </c>
      <c r="E9" s="4">
        <f>+$C9*capex!E9</f>
        <v>0</v>
      </c>
      <c r="F9" s="4">
        <f>+$C9*capex!F9</f>
        <v>0</v>
      </c>
      <c r="G9" s="4">
        <f>+$C9*capex!G9</f>
        <v>0</v>
      </c>
      <c r="H9" s="4">
        <f>+$C9*capex!H9</f>
        <v>0</v>
      </c>
      <c r="I9" s="4">
        <f>+$C9*capex!I9</f>
        <v>0</v>
      </c>
      <c r="J9" s="4">
        <f>+$C9*capex!J9</f>
        <v>0</v>
      </c>
      <c r="K9" s="4">
        <f>+$C9*capex!K9</f>
        <v>0</v>
      </c>
      <c r="L9" s="4">
        <f>+$C9*capex!L9</f>
        <v>0</v>
      </c>
      <c r="M9" s="4">
        <f>+$C9*capex!M9</f>
        <v>0</v>
      </c>
      <c r="N9" s="4">
        <f>+$C9*capex!N9</f>
        <v>-1.966179972312501E-5</v>
      </c>
      <c r="O9" s="4">
        <f>+$C9*capex!O9</f>
        <v>-3.9606243849999898E-5</v>
      </c>
      <c r="P9" s="4">
        <f>+$C9*capex!P9</f>
        <v>-5.9827211043750003E-5</v>
      </c>
      <c r="Q9" s="4">
        <f>+$C9*capex!Q9</f>
        <v>-8.0309711100000003E-5</v>
      </c>
      <c r="R9" s="4">
        <f>+$C9*capex!R9</f>
        <v>-1.010382109250001E-4</v>
      </c>
      <c r="S9" s="4">
        <f>+$C9*capex!S9</f>
        <v>-1.2200657133375E-4</v>
      </c>
      <c r="T9" s="4">
        <f>+$C9*capex!T9</f>
        <v>-1.4320689273187499E-4</v>
      </c>
      <c r="U9" s="4">
        <f>+$C9*capex!U9</f>
        <v>-1.6463027916500009E-4</v>
      </c>
      <c r="V9" s="4">
        <f>+$C9*capex!V9</f>
        <v>-1.8626183891999999E-4</v>
      </c>
      <c r="W9" s="4">
        <f>+$C9*capex!W9</f>
        <v>-2.0809166818749992E-4</v>
      </c>
      <c r="X9" s="4">
        <f>+$C9*capex!X9</f>
        <v>-2.3011111285937489E-4</v>
      </c>
      <c r="Y9" s="4">
        <f>+$C9*capex!Y9</f>
        <v>-2.5231843026749998E-4</v>
      </c>
      <c r="Z9" s="4">
        <f>+$C9*capex!Z9</f>
        <v>-2.7470573420062503E-4</v>
      </c>
      <c r="AA9" s="4">
        <f>+$C9*capex!AA9</f>
        <v>-2.9726131218E-4</v>
      </c>
      <c r="AB9" s="4">
        <f>+$C9*capex!AB9</f>
        <v>-3.1998108845624997E-4</v>
      </c>
      <c r="AC9" s="4">
        <f>+$C9*capex!AC9</f>
        <v>-3.4285551432999898E-4</v>
      </c>
      <c r="AD9" s="4">
        <f>+$C9*capex!AD9</f>
        <v>-3.6577838465812494E-4</v>
      </c>
      <c r="AE9" s="4">
        <f>+$C9*capex!AE9</f>
        <v>0</v>
      </c>
      <c r="AF9" s="4">
        <f>+$C9*capex!AF9</f>
        <v>0</v>
      </c>
      <c r="AG9" s="4">
        <f>+$C9*capex!AG9</f>
        <v>0</v>
      </c>
      <c r="AH9" s="4">
        <f>+$C9*capex!AH9</f>
        <v>0</v>
      </c>
      <c r="AI9" s="4">
        <f>+$C9*capex!AI9</f>
        <v>0</v>
      </c>
      <c r="AJ9" s="4">
        <f>+$C9*capex!AJ9</f>
        <v>0</v>
      </c>
      <c r="AK9" s="4">
        <f>+$C9*capex!AK9</f>
        <v>0</v>
      </c>
      <c r="AL9" s="4">
        <f>+$C9*capex!AL9</f>
        <v>0</v>
      </c>
      <c r="AM9" s="4">
        <f>+$C9*capex!AM9</f>
        <v>0</v>
      </c>
      <c r="AN9" s="4">
        <f>+$C9*capex!AN9</f>
        <v>0</v>
      </c>
      <c r="AO9" s="4">
        <f>+$C9*capex!AO9</f>
        <v>-1.9661722298124988E-5</v>
      </c>
      <c r="AP9" s="4">
        <f>+$C9*capex!AP9</f>
        <v>-3.9606011574999897E-5</v>
      </c>
      <c r="AQ9" s="4">
        <f>+$C9*capex!AQ9</f>
        <v>-5.9826786749999993E-5</v>
      </c>
      <c r="AR9" s="4">
        <f>+$C9*capex!AR9</f>
        <v>-8.0308978175000096E-5</v>
      </c>
      <c r="AS9" s="4">
        <f>+$C9*capex!AS9</f>
        <v>-1.010369765187501E-4</v>
      </c>
      <c r="AT9" s="4">
        <f>+$C9*capex!AT9</f>
        <v>-1.2200483710874999E-4</v>
      </c>
      <c r="AU9" s="4">
        <f>+$C9*capex!AU9</f>
        <v>-1.4320451535687509E-4</v>
      </c>
      <c r="AV9" s="4">
        <f>+$C9*capex!AV9</f>
        <v>-1.6462681356500011E-4</v>
      </c>
      <c r="AW9" s="4">
        <f>+$C9*capex!AW9</f>
        <v>-1.8625727108249998E-4</v>
      </c>
      <c r="AX9" s="4">
        <f>+$C9*capex!AX9</f>
        <v>-2.0808556562499988E-4</v>
      </c>
      <c r="AY9" s="4">
        <f>+$C9*capex!AY9</f>
        <v>-2.301034974218751E-4</v>
      </c>
      <c r="AZ9" s="4">
        <f>+$C9*capex!AZ9</f>
        <v>-2.5230905091749997E-4</v>
      </c>
      <c r="BA9" s="4">
        <f>+$C9*capex!BA9</f>
        <v>-2.746943521318749E-4</v>
      </c>
      <c r="BB9" s="4">
        <f>+$C9*capex!BB9</f>
        <v>-2.9724739040500021E-4</v>
      </c>
      <c r="BC9" s="4">
        <f>+$C9*capex!BC9</f>
        <v>-3.1996425208124997E-4</v>
      </c>
      <c r="BD9" s="4">
        <f>+$C9*capex!BD9</f>
        <v>-3.42835438929999E-4</v>
      </c>
      <c r="BE9" s="4">
        <f>+$C9*capex!BE9</f>
        <v>-3.6575508020812497E-4</v>
      </c>
    </row>
    <row r="10" spans="1:57" x14ac:dyDescent="0.2">
      <c r="A10" s="1" t="s">
        <v>38</v>
      </c>
      <c r="B10" s="6" t="s">
        <v>99</v>
      </c>
      <c r="C10" s="4">
        <v>1.4999999999999999E-2</v>
      </c>
      <c r="D10" s="4">
        <f>+$C10*capex!D10</f>
        <v>0</v>
      </c>
      <c r="E10" s="4">
        <f>+$C10*capex!E10</f>
        <v>0</v>
      </c>
      <c r="F10" s="4">
        <f>+$C10*capex!F10</f>
        <v>0</v>
      </c>
      <c r="G10" s="4">
        <f>+$C10*capex!G10</f>
        <v>0</v>
      </c>
      <c r="H10" s="4">
        <f>+$C10*capex!H10</f>
        <v>0</v>
      </c>
      <c r="I10" s="4">
        <f>+$C10*capex!I10</f>
        <v>-1.3021487740592011E-5</v>
      </c>
      <c r="J10" s="4">
        <f>+$C10*capex!J10</f>
        <v>9.9326676292402194E-6</v>
      </c>
      <c r="K10" s="4">
        <f>+$C10*capex!K10</f>
        <v>3.1470775233897058E-5</v>
      </c>
      <c r="L10" s="4">
        <f>+$C10*capex!L10</f>
        <v>5.1662368833425289E-5</v>
      </c>
      <c r="M10" s="4">
        <f>+$C10*capex!M10</f>
        <v>7.0573744653054283E-5</v>
      </c>
      <c r="N10" s="4">
        <f>+$C10*capex!N10</f>
        <v>8.8268109865329605E-5</v>
      </c>
      <c r="O10" s="4">
        <f>+$C10*capex!O10</f>
        <v>1.0480572416365792E-4</v>
      </c>
      <c r="P10" s="4">
        <f>+$C10*capex!P10</f>
        <v>1.2024403489951604E-4</v>
      </c>
      <c r="Q10" s="4">
        <f>+$C10*capex!Q10</f>
        <v>1.3463780607397605E-4</v>
      </c>
      <c r="R10" s="4">
        <f>+$C10*capex!R10</f>
        <v>1.4803924146116506E-4</v>
      </c>
      <c r="S10" s="4">
        <f>+$C10*capex!S10</f>
        <v>1.604981021287335E-4</v>
      </c>
      <c r="T10" s="4">
        <f>+$C10*capex!T10</f>
        <v>1.7206181860887707E-4</v>
      </c>
      <c r="U10" s="4">
        <f>+$C10*capex!U10</f>
        <v>1.8277559796171539E-4</v>
      </c>
      <c r="V10" s="4">
        <f>+$C10*capex!V10</f>
        <v>1.9268252596236989E-4</v>
      </c>
      <c r="W10" s="4">
        <f>+$C10*capex!W10</f>
        <v>2.0182366463245273E-4</v>
      </c>
      <c r="X10" s="4">
        <f>+$C10*capex!X10</f>
        <v>2.1023814532679399E-4</v>
      </c>
      <c r="Y10" s="4">
        <f>+$C10*capex!Y10</f>
        <v>2.1796325757696822E-4</v>
      </c>
      <c r="Z10" s="4">
        <f>+$C10*capex!Z10</f>
        <v>2.2503453388369798E-4</v>
      </c>
      <c r="AA10" s="4">
        <f>+$C10*capex!AA10</f>
        <v>2.3148583064200757E-4</v>
      </c>
      <c r="AB10" s="4">
        <f>+$C10*capex!AB10</f>
        <v>2.3734940537456208E-4</v>
      </c>
      <c r="AC10" s="4">
        <f>+$C10*capex!AC10</f>
        <v>2.4265599044038632E-4</v>
      </c>
      <c r="AD10" s="4">
        <f>+$C10*capex!AD10</f>
        <v>2.4743486337921181E-4</v>
      </c>
      <c r="AE10" s="4">
        <f>+$C10*capex!AE10</f>
        <v>0</v>
      </c>
      <c r="AF10" s="4">
        <f>+$C10*capex!AF10</f>
        <v>0</v>
      </c>
      <c r="AG10" s="4">
        <f>+$C10*capex!AG10</f>
        <v>0</v>
      </c>
      <c r="AH10" s="4">
        <f>+$C10*capex!AH10</f>
        <v>0</v>
      </c>
      <c r="AI10" s="4">
        <f>+$C10*capex!AI10</f>
        <v>0</v>
      </c>
      <c r="AJ10" s="4">
        <f>+$C10*capex!AJ10</f>
        <v>-1.147468953422007E-5</v>
      </c>
      <c r="AK10" s="4">
        <f>+$C10*capex!AK10</f>
        <v>1.22141222518119E-5</v>
      </c>
      <c r="AL10" s="4">
        <f>+$C10*capex!AL10</f>
        <v>3.448694821859475E-5</v>
      </c>
      <c r="AM10" s="4">
        <f>+$C10*capex!AM10</f>
        <v>5.5413324497493837E-5</v>
      </c>
      <c r="AN10" s="4">
        <f>+$C10*capex!AN10</f>
        <v>7.5059549619833601E-5</v>
      </c>
      <c r="AO10" s="4">
        <f>+$C10*capex!AO10</f>
        <v>9.3488832942192877E-5</v>
      </c>
      <c r="AP10" s="4">
        <f>+$C10*capex!AP10</f>
        <v>1.1076143622486014E-4</v>
      </c>
      <c r="AQ10" s="4">
        <f>+$C10*capex!AQ10</f>
        <v>1.269348087735147E-4</v>
      </c>
      <c r="AR10" s="4">
        <f>+$C10*capex!AR10</f>
        <v>1.4206371643483349E-4</v>
      </c>
      <c r="AS10" s="4">
        <f>+$C10*capex!AS10</f>
        <v>1.562003647235307E-4</v>
      </c>
      <c r="AT10" s="4">
        <f>+$C10*capex!AT10</f>
        <v>1.6939451634619441E-4</v>
      </c>
      <c r="AU10" s="4">
        <f>+$C10*capex!AU10</f>
        <v>1.8169360337526031E-4</v>
      </c>
      <c r="AV10" s="4">
        <f>+$C10*capex!AV10</f>
        <v>1.9314283431509042E-4</v>
      </c>
      <c r="AW10" s="4">
        <f>+$C10*capex!AW10</f>
        <v>2.0378529629150097E-4</v>
      </c>
      <c r="AX10" s="4">
        <f>+$C10*capex!AX10</f>
        <v>2.1366205258546784E-4</v>
      </c>
      <c r="AY10" s="4">
        <f>+$C10*capex!AY10</f>
        <v>2.228122357217925E-4</v>
      </c>
      <c r="AZ10" s="4">
        <f>+$C10*capex!AZ10</f>
        <v>2.3127313631443857E-4</v>
      </c>
      <c r="BA10" s="4">
        <f>+$C10*capex!BA10</f>
        <v>2.3908028786059904E-4</v>
      </c>
      <c r="BB10" s="4">
        <f>+$C10*capex!BB10</f>
        <v>2.4626754766730549E-4</v>
      </c>
      <c r="BC10" s="4">
        <f>+$C10*capex!BC10</f>
        <v>2.5286717408611427E-4</v>
      </c>
      <c r="BD10" s="4">
        <f>+$C10*capex!BD10</f>
        <v>2.5890990022311435E-4</v>
      </c>
      <c r="BE10" s="4">
        <f>+$C10*capex!BE10</f>
        <v>2.6442500428439097E-4</v>
      </c>
    </row>
  </sheetData>
  <mergeCells count="4">
    <mergeCell ref="D1:AD1"/>
    <mergeCell ref="AE1:BE1"/>
    <mergeCell ref="D2:AD2"/>
    <mergeCell ref="AE2:B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capex</vt:lpstr>
      <vt:lpstr>opex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Edmundo Molina Perez</cp:lastModifiedBy>
  <dcterms:created xsi:type="dcterms:W3CDTF">2025-05-04T14:45:43Z</dcterms:created>
  <dcterms:modified xsi:type="dcterms:W3CDTF">2025-06-24T16:46:32Z</dcterms:modified>
</cp:coreProperties>
</file>