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anfuentes/git/ssp_louisiana/1000_runs_ensamble_postprocessing/cw/scr/"/>
    </mc:Choice>
  </mc:AlternateContent>
  <xr:revisionPtr revIDLastSave="0" documentId="13_ncr:1_{2B7751FD-D945-804E-9524-6A5334C34267}" xr6:coauthVersionLast="47" xr6:coauthVersionMax="47" xr10:uidLastSave="{00000000-0000-0000-0000-000000000000}"/>
  <bookViews>
    <workbookView xWindow="-51200" yWindow="-7260" windowWidth="51200" windowHeight="28300" activeTab="3" xr2:uid="{9DBDAEDA-F5AA-E443-9947-E206192A213F}"/>
  </bookViews>
  <sheets>
    <sheet name="metadata" sheetId="2" r:id="rId1"/>
    <sheet name="sum_sheet" sheetId="1" r:id="rId2"/>
    <sheet name="Equivalence Factor" sheetId="5" r:id="rId3"/>
    <sheet name="CO2evalues" sheetId="6" r:id="rId4"/>
    <sheet name="Sheet2" sheetId="4" state="hidden" r:id="rId5"/>
  </sheets>
  <definedNames>
    <definedName name="_xlnm._FilterDatabase" localSheetId="3" hidden="1">CO2evalues!$A$1:$AT$102</definedName>
    <definedName name="_xlnm._FilterDatabase" localSheetId="1" hidden="1">sum_sheet!$A$1:$BC$112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02" i="6" l="1"/>
  <c r="AS102" i="6"/>
  <c r="AR102" i="6"/>
  <c r="AQ102" i="6"/>
  <c r="AP102" i="6"/>
  <c r="AO102" i="6"/>
  <c r="AN102" i="6"/>
  <c r="AM102" i="6"/>
  <c r="AL102" i="6"/>
  <c r="AK102" i="6"/>
  <c r="AJ102" i="6"/>
  <c r="AI102" i="6"/>
  <c r="AH102" i="6"/>
  <c r="AG102" i="6"/>
  <c r="AF102" i="6"/>
  <c r="AE102" i="6"/>
  <c r="AD102" i="6"/>
  <c r="AC102" i="6"/>
  <c r="AB102" i="6"/>
  <c r="AA102" i="6"/>
  <c r="Z102" i="6"/>
  <c r="Y102" i="6"/>
  <c r="X102" i="6"/>
  <c r="W102" i="6"/>
  <c r="V102" i="6"/>
  <c r="U102" i="6"/>
  <c r="T102" i="6"/>
  <c r="S102" i="6"/>
  <c r="R102" i="6"/>
  <c r="Q102" i="6"/>
  <c r="P102" i="6"/>
  <c r="O102" i="6"/>
  <c r="AT101" i="6"/>
  <c r="AS101" i="6"/>
  <c r="AR101" i="6"/>
  <c r="AQ101" i="6"/>
  <c r="AP101" i="6"/>
  <c r="AO101" i="6"/>
  <c r="AN101" i="6"/>
  <c r="AM101" i="6"/>
  <c r="AL101" i="6"/>
  <c r="AK101" i="6"/>
  <c r="AJ101" i="6"/>
  <c r="AI101" i="6"/>
  <c r="AH101" i="6"/>
  <c r="AG101" i="6"/>
  <c r="AF101" i="6"/>
  <c r="AE101" i="6"/>
  <c r="AD101" i="6"/>
  <c r="AC101" i="6"/>
  <c r="AB101" i="6"/>
  <c r="AA101" i="6"/>
  <c r="Z101" i="6"/>
  <c r="Y101" i="6"/>
  <c r="X101" i="6"/>
  <c r="W101" i="6"/>
  <c r="V101" i="6"/>
  <c r="U101" i="6"/>
  <c r="T101" i="6"/>
  <c r="S101" i="6"/>
  <c r="R101" i="6"/>
  <c r="Q101" i="6"/>
  <c r="P101" i="6"/>
  <c r="O101" i="6"/>
  <c r="AT100" i="6"/>
  <c r="AS100" i="6"/>
  <c r="AR100" i="6"/>
  <c r="AQ100" i="6"/>
  <c r="AP100" i="6"/>
  <c r="AO100" i="6"/>
  <c r="AN100" i="6"/>
  <c r="AM100" i="6"/>
  <c r="AL100" i="6"/>
  <c r="AK100" i="6"/>
  <c r="AJ100" i="6"/>
  <c r="AI100" i="6"/>
  <c r="AH100" i="6"/>
  <c r="AG100" i="6"/>
  <c r="AF100" i="6"/>
  <c r="AE100" i="6"/>
  <c r="AD100" i="6"/>
  <c r="AC100" i="6"/>
  <c r="AB100" i="6"/>
  <c r="AA100" i="6"/>
  <c r="Z100" i="6"/>
  <c r="Y100" i="6"/>
  <c r="X100" i="6"/>
  <c r="W100" i="6"/>
  <c r="V100" i="6"/>
  <c r="U100" i="6"/>
  <c r="T100" i="6"/>
  <c r="S100" i="6"/>
  <c r="R100" i="6"/>
  <c r="Q100" i="6"/>
  <c r="P100" i="6"/>
  <c r="O100" i="6"/>
  <c r="AT99" i="6"/>
  <c r="AS99" i="6"/>
  <c r="AR99" i="6"/>
  <c r="AQ99" i="6"/>
  <c r="AP99" i="6"/>
  <c r="AO99" i="6"/>
  <c r="AN99" i="6"/>
  <c r="AM99" i="6"/>
  <c r="AL99" i="6"/>
  <c r="AK99" i="6"/>
  <c r="AJ99" i="6"/>
  <c r="AI99" i="6"/>
  <c r="AH99" i="6"/>
  <c r="AG99" i="6"/>
  <c r="AF99" i="6"/>
  <c r="AE99" i="6"/>
  <c r="AD99" i="6"/>
  <c r="AC99" i="6"/>
  <c r="AB99" i="6"/>
  <c r="AA99" i="6"/>
  <c r="Z99" i="6"/>
  <c r="Y99" i="6"/>
  <c r="X99" i="6"/>
  <c r="W99" i="6"/>
  <c r="V99" i="6"/>
  <c r="U99" i="6"/>
  <c r="T99" i="6"/>
  <c r="S99" i="6"/>
  <c r="R99" i="6"/>
  <c r="Q99" i="6"/>
  <c r="P99" i="6"/>
  <c r="O99" i="6"/>
  <c r="AT98" i="6"/>
  <c r="AS98" i="6"/>
  <c r="AR98" i="6"/>
  <c r="AQ98" i="6"/>
  <c r="AP98" i="6"/>
  <c r="AO98" i="6"/>
  <c r="AN98" i="6"/>
  <c r="AM98" i="6"/>
  <c r="AL98" i="6"/>
  <c r="AK98" i="6"/>
  <c r="AJ98" i="6"/>
  <c r="AI98" i="6"/>
  <c r="AH98" i="6"/>
  <c r="AG98" i="6"/>
  <c r="AF98" i="6"/>
  <c r="AE98" i="6"/>
  <c r="AD98" i="6"/>
  <c r="AC98" i="6"/>
  <c r="AB98" i="6"/>
  <c r="AA98" i="6"/>
  <c r="Z98" i="6"/>
  <c r="Y98" i="6"/>
  <c r="X98" i="6"/>
  <c r="W98" i="6"/>
  <c r="V98" i="6"/>
  <c r="U98" i="6"/>
  <c r="T98" i="6"/>
  <c r="S98" i="6"/>
  <c r="R98" i="6"/>
  <c r="Q98" i="6"/>
  <c r="P98" i="6"/>
  <c r="O98" i="6"/>
  <c r="AT97" i="6"/>
  <c r="AS97" i="6"/>
  <c r="AR97" i="6"/>
  <c r="AQ97" i="6"/>
  <c r="AP97" i="6"/>
  <c r="AO97" i="6"/>
  <c r="AN97" i="6"/>
  <c r="AM97" i="6"/>
  <c r="AL97" i="6"/>
  <c r="AK97" i="6"/>
  <c r="AJ97" i="6"/>
  <c r="AI97" i="6"/>
  <c r="AH97" i="6"/>
  <c r="AG97" i="6"/>
  <c r="AF97" i="6"/>
  <c r="AE97" i="6"/>
  <c r="AD97" i="6"/>
  <c r="AC97" i="6"/>
  <c r="AB97" i="6"/>
  <c r="AA97" i="6"/>
  <c r="Z97" i="6"/>
  <c r="Y97" i="6"/>
  <c r="X97" i="6"/>
  <c r="W97" i="6"/>
  <c r="V97" i="6"/>
  <c r="U97" i="6"/>
  <c r="T97" i="6"/>
  <c r="S97" i="6"/>
  <c r="R97" i="6"/>
  <c r="Q97" i="6"/>
  <c r="P97" i="6"/>
  <c r="O97" i="6"/>
  <c r="AT96" i="6"/>
  <c r="AS96" i="6"/>
  <c r="AR96" i="6"/>
  <c r="AQ96" i="6"/>
  <c r="AP96" i="6"/>
  <c r="AO96" i="6"/>
  <c r="AN96" i="6"/>
  <c r="AM96" i="6"/>
  <c r="AL96" i="6"/>
  <c r="AK96" i="6"/>
  <c r="AJ96" i="6"/>
  <c r="AI96" i="6"/>
  <c r="AH96" i="6"/>
  <c r="AG96" i="6"/>
  <c r="AF96" i="6"/>
  <c r="AE96" i="6"/>
  <c r="AD96" i="6"/>
  <c r="AC96" i="6"/>
  <c r="AB96" i="6"/>
  <c r="AA96" i="6"/>
  <c r="Z96" i="6"/>
  <c r="Y96" i="6"/>
  <c r="X96" i="6"/>
  <c r="W96" i="6"/>
  <c r="V96" i="6"/>
  <c r="U96" i="6"/>
  <c r="T96" i="6"/>
  <c r="S96" i="6"/>
  <c r="R96" i="6"/>
  <c r="Q96" i="6"/>
  <c r="P96" i="6"/>
  <c r="O96" i="6"/>
  <c r="AT95" i="6"/>
  <c r="AS95" i="6"/>
  <c r="AR95" i="6"/>
  <c r="AQ95" i="6"/>
  <c r="AP95" i="6"/>
  <c r="AO95" i="6"/>
  <c r="AN95" i="6"/>
  <c r="AM95" i="6"/>
  <c r="AL95" i="6"/>
  <c r="AK95" i="6"/>
  <c r="AJ95" i="6"/>
  <c r="AI95" i="6"/>
  <c r="AH95" i="6"/>
  <c r="AG95" i="6"/>
  <c r="AF95" i="6"/>
  <c r="AE95" i="6"/>
  <c r="AD95" i="6"/>
  <c r="AC95" i="6"/>
  <c r="AB95" i="6"/>
  <c r="AA95" i="6"/>
  <c r="Z95" i="6"/>
  <c r="Y95" i="6"/>
  <c r="X95" i="6"/>
  <c r="W95" i="6"/>
  <c r="V95" i="6"/>
  <c r="U95" i="6"/>
  <c r="T95" i="6"/>
  <c r="S95" i="6"/>
  <c r="R95" i="6"/>
  <c r="Q95" i="6"/>
  <c r="P95" i="6"/>
  <c r="O95" i="6"/>
  <c r="AT94" i="6"/>
  <c r="AS94" i="6"/>
  <c r="AR94" i="6"/>
  <c r="AQ94" i="6"/>
  <c r="AP94" i="6"/>
  <c r="AO94" i="6"/>
  <c r="AN94" i="6"/>
  <c r="AM94" i="6"/>
  <c r="AL94" i="6"/>
  <c r="AK94" i="6"/>
  <c r="AJ94" i="6"/>
  <c r="AI94" i="6"/>
  <c r="AH94" i="6"/>
  <c r="AG94" i="6"/>
  <c r="AF94" i="6"/>
  <c r="AE94" i="6"/>
  <c r="AD94" i="6"/>
  <c r="AC94" i="6"/>
  <c r="AB94" i="6"/>
  <c r="AA94" i="6"/>
  <c r="Z94" i="6"/>
  <c r="Y94" i="6"/>
  <c r="X94" i="6"/>
  <c r="W94" i="6"/>
  <c r="V94" i="6"/>
  <c r="U94" i="6"/>
  <c r="T94" i="6"/>
  <c r="S94" i="6"/>
  <c r="R94" i="6"/>
  <c r="Q94" i="6"/>
  <c r="P94" i="6"/>
  <c r="O94" i="6"/>
  <c r="AT93" i="6"/>
  <c r="AS93" i="6"/>
  <c r="AR93" i="6"/>
  <c r="AQ93" i="6"/>
  <c r="AP93" i="6"/>
  <c r="AO93" i="6"/>
  <c r="AN93" i="6"/>
  <c r="AM93" i="6"/>
  <c r="AL93" i="6"/>
  <c r="AK93" i="6"/>
  <c r="AJ93" i="6"/>
  <c r="AI93" i="6"/>
  <c r="AH93" i="6"/>
  <c r="AG93" i="6"/>
  <c r="AF93" i="6"/>
  <c r="AE93" i="6"/>
  <c r="AD93" i="6"/>
  <c r="AC93" i="6"/>
  <c r="AB93" i="6"/>
  <c r="AA93" i="6"/>
  <c r="Z93" i="6"/>
  <c r="Y93" i="6"/>
  <c r="X93" i="6"/>
  <c r="W93" i="6"/>
  <c r="V93" i="6"/>
  <c r="U93" i="6"/>
  <c r="T93" i="6"/>
  <c r="S93" i="6"/>
  <c r="R93" i="6"/>
  <c r="Q93" i="6"/>
  <c r="P93" i="6"/>
  <c r="O93" i="6"/>
  <c r="AT92" i="6"/>
  <c r="AS92" i="6"/>
  <c r="AR92" i="6"/>
  <c r="AQ92" i="6"/>
  <c r="AP92" i="6"/>
  <c r="AO92" i="6"/>
  <c r="AN92" i="6"/>
  <c r="AM92" i="6"/>
  <c r="AL92" i="6"/>
  <c r="AK92" i="6"/>
  <c r="AJ92" i="6"/>
  <c r="AI92" i="6"/>
  <c r="AH92" i="6"/>
  <c r="AG92" i="6"/>
  <c r="AF92" i="6"/>
  <c r="AE92" i="6"/>
  <c r="AD92" i="6"/>
  <c r="AC92" i="6"/>
  <c r="AB92" i="6"/>
  <c r="AA92" i="6"/>
  <c r="Z92" i="6"/>
  <c r="Y92" i="6"/>
  <c r="X92" i="6"/>
  <c r="W92" i="6"/>
  <c r="V92" i="6"/>
  <c r="U92" i="6"/>
  <c r="T92" i="6"/>
  <c r="S92" i="6"/>
  <c r="R92" i="6"/>
  <c r="Q92" i="6"/>
  <c r="P92" i="6"/>
  <c r="O92" i="6"/>
  <c r="AT91" i="6"/>
  <c r="AS91" i="6"/>
  <c r="AR91" i="6"/>
  <c r="AQ91" i="6"/>
  <c r="AP91" i="6"/>
  <c r="AO91" i="6"/>
  <c r="AN91" i="6"/>
  <c r="AM91" i="6"/>
  <c r="AL91" i="6"/>
  <c r="AK91" i="6"/>
  <c r="AJ91" i="6"/>
  <c r="AI91" i="6"/>
  <c r="AH91" i="6"/>
  <c r="AG91" i="6"/>
  <c r="AF91" i="6"/>
  <c r="AE91" i="6"/>
  <c r="AD91" i="6"/>
  <c r="AC91" i="6"/>
  <c r="AB91" i="6"/>
  <c r="AA91" i="6"/>
  <c r="Z91" i="6"/>
  <c r="Y91" i="6"/>
  <c r="X91" i="6"/>
  <c r="W91" i="6"/>
  <c r="V91" i="6"/>
  <c r="U91" i="6"/>
  <c r="T91" i="6"/>
  <c r="S91" i="6"/>
  <c r="R91" i="6"/>
  <c r="Q91" i="6"/>
  <c r="P91" i="6"/>
  <c r="O91" i="6"/>
  <c r="AT90" i="6"/>
  <c r="AS90" i="6"/>
  <c r="AR90" i="6"/>
  <c r="AQ90" i="6"/>
  <c r="AP90" i="6"/>
  <c r="AO90" i="6"/>
  <c r="AN90" i="6"/>
  <c r="AM90" i="6"/>
  <c r="AL90" i="6"/>
  <c r="AK90" i="6"/>
  <c r="AJ90" i="6"/>
  <c r="AI90" i="6"/>
  <c r="AH90" i="6"/>
  <c r="AG90" i="6"/>
  <c r="AF90" i="6"/>
  <c r="AE90" i="6"/>
  <c r="AD90" i="6"/>
  <c r="AC90" i="6"/>
  <c r="AB90" i="6"/>
  <c r="AA90" i="6"/>
  <c r="Z90" i="6"/>
  <c r="Y90" i="6"/>
  <c r="X90" i="6"/>
  <c r="W90" i="6"/>
  <c r="V90" i="6"/>
  <c r="U90" i="6"/>
  <c r="T90" i="6"/>
  <c r="S90" i="6"/>
  <c r="R90" i="6"/>
  <c r="Q90" i="6"/>
  <c r="P90" i="6"/>
  <c r="O90" i="6"/>
  <c r="AT89" i="6"/>
  <c r="AS89" i="6"/>
  <c r="AR89" i="6"/>
  <c r="AQ89" i="6"/>
  <c r="AP89" i="6"/>
  <c r="AO89" i="6"/>
  <c r="AN89" i="6"/>
  <c r="AM89" i="6"/>
  <c r="AL89" i="6"/>
  <c r="AK89" i="6"/>
  <c r="AJ89" i="6"/>
  <c r="AI89" i="6"/>
  <c r="AH89" i="6"/>
  <c r="AG89" i="6"/>
  <c r="AF89" i="6"/>
  <c r="AE89" i="6"/>
  <c r="AD89" i="6"/>
  <c r="AC89" i="6"/>
  <c r="AB89" i="6"/>
  <c r="AA89" i="6"/>
  <c r="Z89" i="6"/>
  <c r="Y89" i="6"/>
  <c r="X89" i="6"/>
  <c r="W89" i="6"/>
  <c r="V89" i="6"/>
  <c r="U89" i="6"/>
  <c r="T89" i="6"/>
  <c r="S89" i="6"/>
  <c r="R89" i="6"/>
  <c r="Q89" i="6"/>
  <c r="P89" i="6"/>
  <c r="O89" i="6"/>
  <c r="AT88" i="6"/>
  <c r="AS88" i="6"/>
  <c r="AR88" i="6"/>
  <c r="AQ88" i="6"/>
  <c r="AP88" i="6"/>
  <c r="AO88" i="6"/>
  <c r="AN88" i="6"/>
  <c r="AM88" i="6"/>
  <c r="AL88" i="6"/>
  <c r="AK88" i="6"/>
  <c r="AJ88" i="6"/>
  <c r="AI88" i="6"/>
  <c r="AH88" i="6"/>
  <c r="AG88" i="6"/>
  <c r="AF88" i="6"/>
  <c r="AE88" i="6"/>
  <c r="AD88" i="6"/>
  <c r="AC88" i="6"/>
  <c r="AB88" i="6"/>
  <c r="AA88" i="6"/>
  <c r="Z88" i="6"/>
  <c r="Y88" i="6"/>
  <c r="X88" i="6"/>
  <c r="W88" i="6"/>
  <c r="V88" i="6"/>
  <c r="U88" i="6"/>
  <c r="T88" i="6"/>
  <c r="S88" i="6"/>
  <c r="R88" i="6"/>
  <c r="Q88" i="6"/>
  <c r="P88" i="6"/>
  <c r="O88" i="6"/>
  <c r="AT87" i="6"/>
  <c r="AS87" i="6"/>
  <c r="AR87" i="6"/>
  <c r="AQ87" i="6"/>
  <c r="AP87" i="6"/>
  <c r="AO87" i="6"/>
  <c r="AN87" i="6"/>
  <c r="AM87" i="6"/>
  <c r="AL87" i="6"/>
  <c r="AK87" i="6"/>
  <c r="AJ87" i="6"/>
  <c r="AI87" i="6"/>
  <c r="AH87" i="6"/>
  <c r="AG87" i="6"/>
  <c r="AF87" i="6"/>
  <c r="AE87" i="6"/>
  <c r="AD87" i="6"/>
  <c r="AC87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AT86" i="6"/>
  <c r="AS86" i="6"/>
  <c r="AR86" i="6"/>
  <c r="AQ86" i="6"/>
  <c r="AP86" i="6"/>
  <c r="AO86" i="6"/>
  <c r="AN86" i="6"/>
  <c r="AM86" i="6"/>
  <c r="AL86" i="6"/>
  <c r="AK86" i="6"/>
  <c r="AJ86" i="6"/>
  <c r="AI86" i="6"/>
  <c r="AH86" i="6"/>
  <c r="AG86" i="6"/>
  <c r="AF86" i="6"/>
  <c r="AE86" i="6"/>
  <c r="AD86" i="6"/>
  <c r="AC86" i="6"/>
  <c r="AB86" i="6"/>
  <c r="AA86" i="6"/>
  <c r="Z86" i="6"/>
  <c r="Y86" i="6"/>
  <c r="X86" i="6"/>
  <c r="W86" i="6"/>
  <c r="V86" i="6"/>
  <c r="U86" i="6"/>
  <c r="T86" i="6"/>
  <c r="S86" i="6"/>
  <c r="R86" i="6"/>
  <c r="Q86" i="6"/>
  <c r="P86" i="6"/>
  <c r="O86" i="6"/>
  <c r="AT85" i="6"/>
  <c r="AS85" i="6"/>
  <c r="AR85" i="6"/>
  <c r="AQ85" i="6"/>
  <c r="AP85" i="6"/>
  <c r="AO85" i="6"/>
  <c r="AN85" i="6"/>
  <c r="AM85" i="6"/>
  <c r="AL85" i="6"/>
  <c r="AK85" i="6"/>
  <c r="AJ85" i="6"/>
  <c r="AI85" i="6"/>
  <c r="AH85" i="6"/>
  <c r="AG85" i="6"/>
  <c r="AF85" i="6"/>
  <c r="AE85" i="6"/>
  <c r="AD85" i="6"/>
  <c r="AC85" i="6"/>
  <c r="AB85" i="6"/>
  <c r="AA85" i="6"/>
  <c r="Z85" i="6"/>
  <c r="Y85" i="6"/>
  <c r="X85" i="6"/>
  <c r="W85" i="6"/>
  <c r="V85" i="6"/>
  <c r="U85" i="6"/>
  <c r="T85" i="6"/>
  <c r="S85" i="6"/>
  <c r="R85" i="6"/>
  <c r="Q85" i="6"/>
  <c r="P85" i="6"/>
  <c r="O85" i="6"/>
  <c r="AT84" i="6"/>
  <c r="AS84" i="6"/>
  <c r="AR84" i="6"/>
  <c r="AQ84" i="6"/>
  <c r="AP84" i="6"/>
  <c r="AO84" i="6"/>
  <c r="AN84" i="6"/>
  <c r="AM84" i="6"/>
  <c r="AL84" i="6"/>
  <c r="AK84" i="6"/>
  <c r="AJ84" i="6"/>
  <c r="AI84" i="6"/>
  <c r="AH84" i="6"/>
  <c r="AG84" i="6"/>
  <c r="AF84" i="6"/>
  <c r="AE84" i="6"/>
  <c r="AD84" i="6"/>
  <c r="AC84" i="6"/>
  <c r="AB84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AT83" i="6"/>
  <c r="AS83" i="6"/>
  <c r="AR83" i="6"/>
  <c r="AQ83" i="6"/>
  <c r="AP83" i="6"/>
  <c r="AO83" i="6"/>
  <c r="AN83" i="6"/>
  <c r="AM83" i="6"/>
  <c r="AL83" i="6"/>
  <c r="AK83" i="6"/>
  <c r="AJ83" i="6"/>
  <c r="AI83" i="6"/>
  <c r="AH83" i="6"/>
  <c r="AG83" i="6"/>
  <c r="AF83" i="6"/>
  <c r="AE83" i="6"/>
  <c r="AD83" i="6"/>
  <c r="AC83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AT82" i="6"/>
  <c r="AS82" i="6"/>
  <c r="AR82" i="6"/>
  <c r="AQ82" i="6"/>
  <c r="AP82" i="6"/>
  <c r="AO82" i="6"/>
  <c r="AN82" i="6"/>
  <c r="AM82" i="6"/>
  <c r="AL82" i="6"/>
  <c r="AK82" i="6"/>
  <c r="AJ82" i="6"/>
  <c r="AI82" i="6"/>
  <c r="AH82" i="6"/>
  <c r="AG82" i="6"/>
  <c r="AF82" i="6"/>
  <c r="AE82" i="6"/>
  <c r="AD82" i="6"/>
  <c r="AC82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O82" i="6"/>
  <c r="AT81" i="6"/>
  <c r="AS81" i="6"/>
  <c r="AR81" i="6"/>
  <c r="AQ81" i="6"/>
  <c r="AP81" i="6"/>
  <c r="AO81" i="6"/>
  <c r="AN81" i="6"/>
  <c r="AM81" i="6"/>
  <c r="AL81" i="6"/>
  <c r="AK81" i="6"/>
  <c r="AJ81" i="6"/>
  <c r="AI81" i="6"/>
  <c r="AH81" i="6"/>
  <c r="AG81" i="6"/>
  <c r="AF81" i="6"/>
  <c r="AE81" i="6"/>
  <c r="AD81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AT80" i="6"/>
  <c r="AS80" i="6"/>
  <c r="AR80" i="6"/>
  <c r="AQ80" i="6"/>
  <c r="AP80" i="6"/>
  <c r="AO80" i="6"/>
  <c r="AN80" i="6"/>
  <c r="AM80" i="6"/>
  <c r="AL80" i="6"/>
  <c r="AK80" i="6"/>
  <c r="AJ80" i="6"/>
  <c r="AI80" i="6"/>
  <c r="AH80" i="6"/>
  <c r="AG80" i="6"/>
  <c r="AF80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AT79" i="6"/>
  <c r="AS79" i="6"/>
  <c r="AR79" i="6"/>
  <c r="AQ79" i="6"/>
  <c r="AP79" i="6"/>
  <c r="AO79" i="6"/>
  <c r="AN79" i="6"/>
  <c r="AM79" i="6"/>
  <c r="AL79" i="6"/>
  <c r="AK79" i="6"/>
  <c r="AJ79" i="6"/>
  <c r="AI79" i="6"/>
  <c r="AH79" i="6"/>
  <c r="AG79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AT78" i="6"/>
  <c r="AS78" i="6"/>
  <c r="AR78" i="6"/>
  <c r="AQ78" i="6"/>
  <c r="AP78" i="6"/>
  <c r="AO78" i="6"/>
  <c r="AN78" i="6"/>
  <c r="AM78" i="6"/>
  <c r="AL78" i="6"/>
  <c r="AK78" i="6"/>
  <c r="AJ78" i="6"/>
  <c r="AI78" i="6"/>
  <c r="AH78" i="6"/>
  <c r="AG78" i="6"/>
  <c r="AF78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AT77" i="6"/>
  <c r="AS77" i="6"/>
  <c r="AR77" i="6"/>
  <c r="AQ77" i="6"/>
  <c r="AP77" i="6"/>
  <c r="AO77" i="6"/>
  <c r="AN77" i="6"/>
  <c r="AM77" i="6"/>
  <c r="AL77" i="6"/>
  <c r="AK77" i="6"/>
  <c r="AJ77" i="6"/>
  <c r="AI77" i="6"/>
  <c r="AH77" i="6"/>
  <c r="AG77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AT76" i="6"/>
  <c r="AS76" i="6"/>
  <c r="AR76" i="6"/>
  <c r="AQ76" i="6"/>
  <c r="AP76" i="6"/>
  <c r="AO76" i="6"/>
  <c r="AN76" i="6"/>
  <c r="AM76" i="6"/>
  <c r="AL76" i="6"/>
  <c r="AK76" i="6"/>
  <c r="AJ76" i="6"/>
  <c r="AI76" i="6"/>
  <c r="AH76" i="6"/>
  <c r="AG76" i="6"/>
  <c r="AF76" i="6"/>
  <c r="AE76" i="6"/>
  <c r="AD76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AT75" i="6"/>
  <c r="AS75" i="6"/>
  <c r="AR75" i="6"/>
  <c r="AQ75" i="6"/>
  <c r="AP75" i="6"/>
  <c r="AO75" i="6"/>
  <c r="AN75" i="6"/>
  <c r="AM75" i="6"/>
  <c r="AL75" i="6"/>
  <c r="AK75" i="6"/>
  <c r="AJ75" i="6"/>
  <c r="AI75" i="6"/>
  <c r="AH75" i="6"/>
  <c r="AG75" i="6"/>
  <c r="AF75" i="6"/>
  <c r="AE75" i="6"/>
  <c r="AD75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O75" i="6"/>
  <c r="AT74" i="6"/>
  <c r="AS74" i="6"/>
  <c r="AR74" i="6"/>
  <c r="AQ74" i="6"/>
  <c r="AP74" i="6"/>
  <c r="AO74" i="6"/>
  <c r="AN74" i="6"/>
  <c r="AM74" i="6"/>
  <c r="AL74" i="6"/>
  <c r="AK74" i="6"/>
  <c r="AJ74" i="6"/>
  <c r="AI74" i="6"/>
  <c r="AH74" i="6"/>
  <c r="AG74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AT73" i="6"/>
  <c r="AS73" i="6"/>
  <c r="AR73" i="6"/>
  <c r="AQ73" i="6"/>
  <c r="AP73" i="6"/>
  <c r="AO73" i="6"/>
  <c r="AN73" i="6"/>
  <c r="AM73" i="6"/>
  <c r="AL73" i="6"/>
  <c r="AK73" i="6"/>
  <c r="AJ73" i="6"/>
  <c r="AI73" i="6"/>
  <c r="AH73" i="6"/>
  <c r="AG73" i="6"/>
  <c r="AF73" i="6"/>
  <c r="AE73" i="6"/>
  <c r="AD73" i="6"/>
  <c r="AC73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AT72" i="6"/>
  <c r="AS72" i="6"/>
  <c r="AR72" i="6"/>
  <c r="AQ72" i="6"/>
  <c r="AP72" i="6"/>
  <c r="AO72" i="6"/>
  <c r="AN72" i="6"/>
  <c r="AM72" i="6"/>
  <c r="AL72" i="6"/>
  <c r="AK72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AT71" i="6"/>
  <c r="AS71" i="6"/>
  <c r="AR71" i="6"/>
  <c r="AQ71" i="6"/>
  <c r="AP71" i="6"/>
  <c r="AO71" i="6"/>
  <c r="AN71" i="6"/>
  <c r="AM71" i="6"/>
  <c r="AL71" i="6"/>
  <c r="AK71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AT70" i="6"/>
  <c r="AS70" i="6"/>
  <c r="AR70" i="6"/>
  <c r="AQ70" i="6"/>
  <c r="AP70" i="6"/>
  <c r="AO70" i="6"/>
  <c r="AN70" i="6"/>
  <c r="AM70" i="6"/>
  <c r="AL70" i="6"/>
  <c r="AK70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AT69" i="6"/>
  <c r="AS69" i="6"/>
  <c r="AR69" i="6"/>
  <c r="AQ69" i="6"/>
  <c r="AP69" i="6"/>
  <c r="AO69" i="6"/>
  <c r="AN69" i="6"/>
  <c r="AM69" i="6"/>
  <c r="AL69" i="6"/>
  <c r="AK69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AT68" i="6"/>
  <c r="AS68" i="6"/>
  <c r="AR68" i="6"/>
  <c r="AQ68" i="6"/>
  <c r="AP68" i="6"/>
  <c r="AO68" i="6"/>
  <c r="AN68" i="6"/>
  <c r="AM68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AT67" i="6"/>
  <c r="AS67" i="6"/>
  <c r="AR67" i="6"/>
  <c r="AQ67" i="6"/>
  <c r="AP67" i="6"/>
  <c r="AO67" i="6"/>
  <c r="AN67" i="6"/>
  <c r="AM67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AT66" i="6"/>
  <c r="AS66" i="6"/>
  <c r="AR66" i="6"/>
  <c r="AQ66" i="6"/>
  <c r="AP66" i="6"/>
  <c r="AO66" i="6"/>
  <c r="AN66" i="6"/>
  <c r="AM66" i="6"/>
  <c r="AL66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AT65" i="6"/>
  <c r="AS65" i="6"/>
  <c r="AR65" i="6"/>
  <c r="AQ65" i="6"/>
  <c r="AP65" i="6"/>
  <c r="AO65" i="6"/>
  <c r="AN65" i="6"/>
  <c r="AM65" i="6"/>
  <c r="AL65" i="6"/>
  <c r="AK65" i="6"/>
  <c r="AJ65" i="6"/>
  <c r="AI65" i="6"/>
  <c r="AH65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AT64" i="6"/>
  <c r="AS64" i="6"/>
  <c r="AR64" i="6"/>
  <c r="AQ64" i="6"/>
  <c r="AP64" i="6"/>
  <c r="AO64" i="6"/>
  <c r="AN64" i="6"/>
  <c r="AM64" i="6"/>
  <c r="AL64" i="6"/>
  <c r="AK64" i="6"/>
  <c r="AJ64" i="6"/>
  <c r="AI64" i="6"/>
  <c r="AH64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AT63" i="6"/>
  <c r="AS63" i="6"/>
  <c r="AR63" i="6"/>
  <c r="AQ63" i="6"/>
  <c r="AP63" i="6"/>
  <c r="AO63" i="6"/>
  <c r="AN63" i="6"/>
  <c r="AM63" i="6"/>
  <c r="AL63" i="6"/>
  <c r="AK63" i="6"/>
  <c r="AJ63" i="6"/>
  <c r="AI63" i="6"/>
  <c r="AH63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AT62" i="6"/>
  <c r="AS62" i="6"/>
  <c r="AR62" i="6"/>
  <c r="AQ62" i="6"/>
  <c r="AP62" i="6"/>
  <c r="AO62" i="6"/>
  <c r="AN62" i="6"/>
  <c r="AM62" i="6"/>
  <c r="AL62" i="6"/>
  <c r="AK62" i="6"/>
  <c r="AJ62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AT61" i="6"/>
  <c r="AS61" i="6"/>
  <c r="AR61" i="6"/>
  <c r="AQ61" i="6"/>
  <c r="AP61" i="6"/>
  <c r="AO61" i="6"/>
  <c r="AN61" i="6"/>
  <c r="AM61" i="6"/>
  <c r="AL61" i="6"/>
  <c r="AK61" i="6"/>
  <c r="AJ61" i="6"/>
  <c r="AI61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AT60" i="6"/>
  <c r="AS60" i="6"/>
  <c r="AR60" i="6"/>
  <c r="AQ60" i="6"/>
  <c r="AP60" i="6"/>
  <c r="AO60" i="6"/>
  <c r="AN60" i="6"/>
  <c r="AM60" i="6"/>
  <c r="AL60" i="6"/>
  <c r="AK60" i="6"/>
  <c r="AJ60" i="6"/>
  <c r="AI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AT59" i="6"/>
  <c r="AS59" i="6"/>
  <c r="AR59" i="6"/>
  <c r="AQ59" i="6"/>
  <c r="AP59" i="6"/>
  <c r="AO59" i="6"/>
  <c r="AN59" i="6"/>
  <c r="AM59" i="6"/>
  <c r="AL59" i="6"/>
  <c r="AK59" i="6"/>
  <c r="AJ59" i="6"/>
  <c r="AI59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AT58" i="6"/>
  <c r="AS58" i="6"/>
  <c r="AR58" i="6"/>
  <c r="AQ58" i="6"/>
  <c r="AP58" i="6"/>
  <c r="AO58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AT57" i="6"/>
  <c r="AS57" i="6"/>
  <c r="AR57" i="6"/>
  <c r="AQ57" i="6"/>
  <c r="AP57" i="6"/>
  <c r="AO57" i="6"/>
  <c r="AN57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AT56" i="6"/>
  <c r="AS56" i="6"/>
  <c r="AR56" i="6"/>
  <c r="AQ56" i="6"/>
  <c r="AP56" i="6"/>
  <c r="AO56" i="6"/>
  <c r="AN56" i="6"/>
  <c r="AM56" i="6"/>
  <c r="AL56" i="6"/>
  <c r="AK56" i="6"/>
  <c r="AJ56" i="6"/>
  <c r="AI56" i="6"/>
  <c r="AH56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AT55" i="6"/>
  <c r="AS55" i="6"/>
  <c r="AR55" i="6"/>
  <c r="AQ55" i="6"/>
  <c r="AP55" i="6"/>
  <c r="AO55" i="6"/>
  <c r="AN55" i="6"/>
  <c r="AM55" i="6"/>
  <c r="AL55" i="6"/>
  <c r="AK55" i="6"/>
  <c r="AJ55" i="6"/>
  <c r="AI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AT53" i="6"/>
  <c r="AS53" i="6"/>
  <c r="AR53" i="6"/>
  <c r="AQ53" i="6"/>
  <c r="AP53" i="6"/>
  <c r="AO53" i="6"/>
  <c r="AN53" i="6"/>
  <c r="AM53" i="6"/>
  <c r="AL53" i="6"/>
  <c r="AK53" i="6"/>
  <c r="AJ53" i="6"/>
  <c r="AI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AT52" i="6"/>
  <c r="AS52" i="6"/>
  <c r="AR52" i="6"/>
  <c r="AQ52" i="6"/>
  <c r="AP52" i="6"/>
  <c r="AO52" i="6"/>
  <c r="AN52" i="6"/>
  <c r="AM52" i="6"/>
  <c r="AL52" i="6"/>
  <c r="AK52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AT51" i="6"/>
  <c r="AS51" i="6"/>
  <c r="AR51" i="6"/>
  <c r="AQ51" i="6"/>
  <c r="AP51" i="6"/>
  <c r="AO51" i="6"/>
  <c r="AN51" i="6"/>
  <c r="AM51" i="6"/>
  <c r="AL51" i="6"/>
  <c r="AK51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AT50" i="6"/>
  <c r="AS50" i="6"/>
  <c r="AR50" i="6"/>
  <c r="AQ50" i="6"/>
  <c r="AP50" i="6"/>
  <c r="AO50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AT49" i="6"/>
  <c r="AS49" i="6"/>
  <c r="AR49" i="6"/>
  <c r="AQ49" i="6"/>
  <c r="AP49" i="6"/>
  <c r="AO49" i="6"/>
  <c r="AN49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AT48" i="6"/>
  <c r="AS48" i="6"/>
  <c r="AR48" i="6"/>
  <c r="AQ48" i="6"/>
  <c r="AP48" i="6"/>
  <c r="AO48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AT44" i="6"/>
  <c r="AS44" i="6"/>
  <c r="AR44" i="6"/>
  <c r="AQ44" i="6"/>
  <c r="AP44" i="6"/>
  <c r="AO44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AT38" i="6"/>
  <c r="AS38" i="6"/>
  <c r="AR38" i="6"/>
  <c r="AQ38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BA2" i="1"/>
  <c r="AZ49" i="1"/>
  <c r="AZ89" i="1"/>
  <c r="BA89" i="1" s="1"/>
  <c r="AZ110" i="1"/>
  <c r="AZ109" i="1"/>
  <c r="BA109" i="1" s="1"/>
  <c r="AZ108" i="1"/>
  <c r="AZ107" i="1"/>
  <c r="AZ106" i="1"/>
  <c r="AZ105" i="1"/>
  <c r="AZ104" i="1"/>
  <c r="AZ103" i="1"/>
  <c r="AZ102" i="1"/>
  <c r="AZ101" i="1"/>
  <c r="AZ100" i="1"/>
  <c r="AZ99" i="1"/>
  <c r="AZ91" i="1"/>
  <c r="AZ90" i="1"/>
  <c r="AZ88" i="1"/>
  <c r="AZ82" i="1"/>
  <c r="AZ81" i="1"/>
  <c r="AZ54" i="1"/>
  <c r="AZ53" i="1"/>
  <c r="AZ52" i="1"/>
  <c r="AZ51" i="1"/>
  <c r="AZ50" i="1"/>
  <c r="AZ31" i="1"/>
  <c r="AZ30" i="1"/>
  <c r="BA30" i="1" s="1"/>
  <c r="AZ18" i="1"/>
  <c r="AZ10" i="1"/>
  <c r="AZ32" i="1"/>
  <c r="BA112" i="1"/>
  <c r="BA111" i="1"/>
  <c r="BA110" i="1"/>
  <c r="BA108" i="1"/>
  <c r="BA107" i="1"/>
  <c r="BA106" i="1"/>
  <c r="BA105" i="1"/>
  <c r="BA104" i="1"/>
  <c r="BA103" i="1"/>
  <c r="BA102" i="1"/>
  <c r="BA101" i="1"/>
  <c r="BA100" i="1"/>
  <c r="BA99" i="1"/>
  <c r="BA98" i="1"/>
  <c r="BA97" i="1"/>
  <c r="BA96" i="1"/>
  <c r="BC96" i="1" s="1"/>
  <c r="BA95" i="1"/>
  <c r="BA94" i="1"/>
  <c r="BA93" i="1"/>
  <c r="BA92" i="1"/>
  <c r="BA91" i="1"/>
  <c r="BA90" i="1"/>
  <c r="BA88" i="1"/>
  <c r="BA87" i="1"/>
  <c r="BB87" i="1" s="1"/>
  <c r="BA86" i="1"/>
  <c r="BA85" i="1"/>
  <c r="BA84" i="1"/>
  <c r="BA83" i="1"/>
  <c r="BA82" i="1"/>
  <c r="BA81" i="1"/>
  <c r="BA80" i="1"/>
  <c r="BA79" i="1"/>
  <c r="BA78" i="1"/>
  <c r="BA77" i="1"/>
  <c r="BA76" i="1"/>
  <c r="BA75" i="1"/>
  <c r="BA74" i="1"/>
  <c r="BA73" i="1"/>
  <c r="BA72" i="1"/>
  <c r="BA71" i="1"/>
  <c r="BA70" i="1"/>
  <c r="BA69" i="1"/>
  <c r="BA68" i="1"/>
  <c r="BA67" i="1"/>
  <c r="BA66" i="1"/>
  <c r="BA65" i="1"/>
  <c r="BA64" i="1"/>
  <c r="BA63" i="1"/>
  <c r="BA62" i="1"/>
  <c r="BA61" i="1"/>
  <c r="BA60" i="1"/>
  <c r="BA59" i="1"/>
  <c r="BA58" i="1"/>
  <c r="BA57" i="1"/>
  <c r="BA56" i="1"/>
  <c r="BA55" i="1"/>
  <c r="BA54" i="1"/>
  <c r="BA53" i="1"/>
  <c r="BA52" i="1"/>
  <c r="BA51" i="1"/>
  <c r="BA50" i="1"/>
  <c r="BA49" i="1"/>
  <c r="BC49" i="1" s="1"/>
  <c r="BA48" i="1"/>
  <c r="BA47" i="1"/>
  <c r="BA46" i="1"/>
  <c r="BA45" i="1"/>
  <c r="BA44" i="1"/>
  <c r="BA43" i="1"/>
  <c r="BA42" i="1"/>
  <c r="BA41" i="1"/>
  <c r="BA40" i="1"/>
  <c r="BA39" i="1"/>
  <c r="BA38" i="1"/>
  <c r="BA37" i="1"/>
  <c r="BC37" i="1" s="1"/>
  <c r="BA36" i="1"/>
  <c r="BA35" i="1"/>
  <c r="BA34" i="1"/>
  <c r="BA33" i="1"/>
  <c r="BA32" i="1"/>
  <c r="BA31" i="1"/>
  <c r="BA29" i="1"/>
  <c r="BA28" i="1"/>
  <c r="BA27" i="1"/>
  <c r="BA26" i="1"/>
  <c r="BA25" i="1"/>
  <c r="BA24" i="1"/>
  <c r="BA23" i="1"/>
  <c r="BA22" i="1"/>
  <c r="BA21" i="1"/>
  <c r="BA20" i="1"/>
  <c r="BA19" i="1"/>
  <c r="BA18" i="1"/>
  <c r="BA114" i="1" s="1"/>
  <c r="BA17" i="1"/>
  <c r="BA16" i="1"/>
  <c r="BA15" i="1"/>
  <c r="BA14" i="1"/>
  <c r="BA13" i="1"/>
  <c r="BA12" i="1"/>
  <c r="BA11" i="1"/>
  <c r="BA10" i="1"/>
  <c r="BA9" i="1"/>
  <c r="BA8" i="1"/>
  <c r="BA7" i="1"/>
  <c r="BA6" i="1"/>
  <c r="BA5" i="1"/>
  <c r="BA4" i="1"/>
  <c r="BA3" i="1"/>
  <c r="BC2" i="1"/>
  <c r="BB84" i="1" l="1"/>
  <c r="BC105" i="1"/>
  <c r="BC99" i="1"/>
  <c r="BC81" i="1"/>
  <c r="BC79" i="1"/>
  <c r="BC94" i="1"/>
  <c r="BC77" i="1"/>
  <c r="BC92" i="1"/>
  <c r="BC50" i="1"/>
  <c r="BC30" i="1"/>
  <c r="BC14" i="1"/>
  <c r="BC4" i="1"/>
  <c r="AX10" i="1" l="1"/>
  <c r="AX9" i="1" s="1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3" i="4"/>
</calcChain>
</file>

<file path=xl/sharedStrings.xml><?xml version="1.0" encoding="utf-8"?>
<sst xmlns="http://schemas.openxmlformats.org/spreadsheetml/2006/main" count="3374" uniqueCount="344">
  <si>
    <t>NA</t>
  </si>
  <si>
    <t>:math:\text{N}_2\text{O} Fugitive Emissions</t>
  </si>
  <si>
    <t>emission_co2e_n2o_fgtv_fuel_oil</t>
  </si>
  <si>
    <t>n2o</t>
  </si>
  <si>
    <t>Fugitive Emissions</t>
  </si>
  <si>
    <t>emission_co2e_n2o_fgtv_fuel_natural_gas</t>
  </si>
  <si>
    <t>emission_co2e_n2o_fgtv_fuel_coal</t>
  </si>
  <si>
    <t>:math:\text{CO}_2 Fugitive Emissions</t>
  </si>
  <si>
    <t>emission_co2e_co2_fgtv_fuel_oil</t>
  </si>
  <si>
    <t>co2</t>
  </si>
  <si>
    <t>emission_co2e_co2_fgtv_fuel_natural_gas</t>
  </si>
  <si>
    <t>emission_co2e_co2_fgtv_fuel_coal</t>
  </si>
  <si>
    <t>Natural Gas</t>
  </si>
  <si>
    <t>Gas and Oil</t>
  </si>
  <si>
    <t>co2e</t>
  </si>
  <si>
    <t>MMT</t>
  </si>
  <si>
    <t>Energy Technology</t>
  </si>
  <si>
    <t>ch4</t>
  </si>
  <si>
    <t>MT</t>
  </si>
  <si>
    <t>Oil</t>
  </si>
  <si>
    <t>Coal Mining</t>
  </si>
  <si>
    <t>Coal</t>
  </si>
  <si>
    <t>emission_co2e_ch4_entc_fuel_mining_and_extraction_me_coal|emission_co2e_ch4_fgtv_fuel_coal</t>
  </si>
  <si>
    <t>Other</t>
  </si>
  <si>
    <t>Electric Utilities</t>
  </si>
  <si>
    <t>CO2FFC</t>
  </si>
  <si>
    <t>NemoMod :math:\text{CO}_2 Emissions from Electricity Generation</t>
  </si>
  <si>
    <t>emission_co2e_co2_entc_generation_pp_biogas|emission_co2e_co2_entc_generation_pp_biomass|emission_co2e_co2_entc_generation_pp_geothermal|emission_co2e_co2_entc_generation_pp_hydropower|emission_co2e_co2_entc_generation_pp_nuclear|emission_co2e_co2_entc_generation_pp_ocean|emission_co2e_co2_entc_generation_pp_solar|emission_co2e_co2_entc_generation_pp_waste_incineration|emission_co2e_co2_entc_generation_pp_wind</t>
  </si>
  <si>
    <t>Petroleum</t>
  </si>
  <si>
    <t>emission_co2e_co2_entc_generation_pp_oil</t>
  </si>
  <si>
    <t>emission_co2e_co2_entc_generation_pp_gas|emission_co2e_co2_entc_generation_pp_gas_ccs</t>
  </si>
  <si>
    <t>Emissions (MMTCO2 Eq.)</t>
  </si>
  <si>
    <t>emission_co2e_co2_entc_generation_pp_coal|emission_co2e_co2_entc_generation_pp_coal_ccs</t>
  </si>
  <si>
    <t>CH4</t>
  </si>
  <si>
    <t>Stationary</t>
  </si>
  <si>
    <t>NemoMod :math:\text{CH}_4 Emissions from Electricity Generation</t>
  </si>
  <si>
    <t>emission_co2e_ch4_entc_generation_pp_biogas|emission_co2e_ch4_entc_generation_pp_biomass|emission_co2e_ch4_entc_generation_pp_coal|emission_co2e_ch4_entc_generation_pp_coal_ccs|emission_co2e_ch4_entc_generation_pp_gas|emission_co2e_ch4_entc_generation_pp_gas_ccs|emission_co2e_ch4_entc_generation_pp_geothermal|emission_co2e_ch4_entc_generation_pp_hydropower|emission_co2e_ch4_entc_generation_pp_nuclear|emission_co2e_ch4_entc_generation_pp_ocean|emission_co2e_ch4_entc_generation_pp_oil|emission_co2e_ch4_entc_generation_pp_solar|emission_co2e_ch4_entc_generation_pp_waste_incineration|emission_co2e_ch4_entc_generation_pp_wind</t>
  </si>
  <si>
    <t>N2O</t>
  </si>
  <si>
    <t>NemoMod :math:\text{N}_2\text{O} Emissions from Electricity Generation</t>
  </si>
  <si>
    <t>emission_co2e_n2o_entc_generation_pp_biogas|emission_co2e_n2o_entc_generation_pp_biomass|emission_co2e_n2o_entc_generation_pp_coal|emission_co2e_n2o_entc_generation_pp_coal_ccs|emission_co2e_n2o_entc_generation_pp_gas|emission_co2e_n2o_entc_generation_pp_gas_ccs|emission_co2e_n2o_entc_generation_pp_geothermal|emission_co2e_n2o_entc_generation_pp_hydropower|emission_co2e_n2o_entc_generation_pp_nuclear|emission_co2e_n2o_entc_generation_pp_ocean|emission_co2e_n2o_entc_generation_pp_oil|emission_co2e_n2o_entc_generation_pp_solar|emission_co2e_n2o_entc_generation_pp_waste_incineration|emission_co2e_n2o_entc_generation_pp_wind</t>
  </si>
  <si>
    <t>20|21|22|23|30</t>
  </si>
  <si>
    <t>Coal|Petroluem|Natural Gas|Other</t>
  </si>
  <si>
    <t>Transportation|International Bunker Fuels</t>
  </si>
  <si>
    <t>:math:\text{CO}_2 Emissions from Transportation</t>
  </si>
  <si>
    <t>emission_co2e_co2_trns_aviation|emission_co2e_co2_trns_human_powered|emission_co2e_co2_trns_powered_bikes|emission_co2e_co2_trns_public|emission_co2e_co2_trns_rail_freight|emission_co2e_co2_trns_rail_passenger|emission_co2e_co2_trns_road_heavy_freight|emission_co2e_co2_trns_road_heavy_regional|emission_co2e_co2_trns_road_light|emission_co2e_co2_trns_water_borne</t>
  </si>
  <si>
    <t>Transportation</t>
  </si>
  <si>
    <t>Locomotives</t>
  </si>
  <si>
    <t>Non-Highway</t>
  </si>
  <si>
    <t>Mobile Combustion</t>
  </si>
  <si>
    <t>:math:\text{N}_2\text{O} Emissions from Transportation</t>
  </si>
  <si>
    <t>emission_co2e_n2o_trns_rail_freight|emission_co2e_n2o_trns_rail_passenger</t>
  </si>
  <si>
    <t>:math:\text{CH}_4 Emissions from Transportation</t>
  </si>
  <si>
    <t>emission_co2e_ch4_trns_rail_freight|emission_co2e_ch4_trns_rail_passenger</t>
  </si>
  <si>
    <t>89|94|95|105|106</t>
  </si>
  <si>
    <t>Heavy-Duty Vehicles|Heavy-Duty Buses|Heavy Duty Vehicles|Buses</t>
  </si>
  <si>
    <t>Gasoline Highway|Diesel Highway|Alternative Fuel Vehicles</t>
  </si>
  <si>
    <t>emission_co2e_n2o_trns_road_heavy_freight|emission_co2e_n2o_trns_road_heavy_regional|emission_co2e_n2o_trns_public</t>
  </si>
  <si>
    <t>61|66|67|77|78</t>
  </si>
  <si>
    <t>emission_co2e_ch4_trns_road_heavy_freight|emission_co2e_ch4_trns_road_heavy_regional|emission_co2e_ch4_trns_public</t>
  </si>
  <si>
    <t>Motorcycles</t>
  </si>
  <si>
    <t>Gasoline Highway</t>
  </si>
  <si>
    <t>emission_co2e_n2o_trns_powered_bikes</t>
  </si>
  <si>
    <t>emission_co2e_ch4_trns_powered_bikes</t>
  </si>
  <si>
    <t>aircraft</t>
  </si>
  <si>
    <t>emission_co2e_n2o_trns_aviation</t>
  </si>
  <si>
    <t>emission_co2e_ch4_trns_aviation</t>
  </si>
  <si>
    <t>87|88|92|93|104</t>
  </si>
  <si>
    <t>Passenger Cars|Light-Duty Trucks|Light-Duty Vehicles</t>
  </si>
  <si>
    <t>emission_co2e_n2o_trns_road_light</t>
  </si>
  <si>
    <t>59|60|64|65|76</t>
  </si>
  <si>
    <t>emission_co2e_ch4_trns_road_light</t>
  </si>
  <si>
    <t>boats</t>
  </si>
  <si>
    <t>emission_co2e_ch4_trns_water_borne</t>
  </si>
  <si>
    <t>emission_co2e_n2o_trns_water_borne</t>
  </si>
  <si>
    <t>sit_rows</t>
  </si>
  <si>
    <t>sit_categories</t>
  </si>
  <si>
    <t>sit_subsections</t>
  </si>
  <si>
    <t>sit_sections</t>
  </si>
  <si>
    <t>sit_sheet</t>
  </si>
  <si>
    <t>sit_gas_measure</t>
  </si>
  <si>
    <t>sit_units</t>
  </si>
  <si>
    <t>accounted</t>
  </si>
  <si>
    <t>variables</t>
  </si>
  <si>
    <t>variable_field</t>
  </si>
  <si>
    <t>gas</t>
  </si>
  <si>
    <t>subsector</t>
  </si>
  <si>
    <t>emission_co2e_ch4_entc_fuel_mining_and_extraction_me_crude|emission_co2e_ch4_entc_processing_and_refinement_fp_petroleum_refinement|emission_co2e_ch4_fgtv_fuel_oil</t>
  </si>
  <si>
    <t>:math:\text{CH}_4 Fugitive Emissions|NemoMod :math:\text{CH}_4 Emissions from Fuel Mining and Extraction|NemoMod :math:\text{CH}_4 Emissions from Fuel Processing and Refinement</t>
  </si>
  <si>
    <t>:math:\text{CH}_4 Fugitive Emissions|NemoMod :math:\text{CH}_4 Emissions from Fuel Mining and Extraction</t>
  </si>
  <si>
    <t>emission_co2e_ch4_entc_fuel_mining_and_extraction_me_natural_gas|emission_co2e_ch4_entc_processing_and_refinement_fp_natural_gas|emission_co2e_ch4_fgtv_fuel_natural_gas</t>
  </si>
  <si>
    <t>emission_co2e_co2_entc_fuel_mining_and_extraction_me_natural_gas|emission_co2e_co2_fgtv_fuel_natural_gas</t>
  </si>
  <si>
    <t>:math:\text{CO}_2 Fugitive Emissions|NemoMod :math:\text{CO}_2 Emissions from Fuel Mining and Extraction</t>
  </si>
  <si>
    <t>emission_co2e_n2o_entc_fuel_mining_and_extraction_me_coal</t>
  </si>
  <si>
    <t>NemoMod :math:\text{N}_2\text{O} Emissions from Fuel Mining and Extraction</t>
  </si>
  <si>
    <t>emission_co2e_n2o_entc_fuel_mining_and_extraction_me_crude</t>
  </si>
  <si>
    <t>emission_co2e_n2o_entc_fuel_mining_and_extraction_me_natural_gas</t>
  </si>
  <si>
    <t>emission_co2e_co2_entc_fuel_mining_and_extraction_me_coal</t>
  </si>
  <si>
    <t>NemoMod :math:\text{CO}_2 Emissions from Fuel Mining and Extraction</t>
  </si>
  <si>
    <t>emission_co2e_co2_entc_fuel_mining_and_extraction_me_crude</t>
  </si>
  <si>
    <t>Energy Technology|Industrial Energy</t>
  </si>
  <si>
    <t>:math:\text{CH}_4 Emissions from Industrial Energy|NemoMod :math:\text{CH}_4 Emissions from Fuel Processing and Refinement</t>
  </si>
  <si>
    <t>Energy Technology|Fugitive Emissions</t>
  </si>
  <si>
    <t>emission_co2e_ch4_entc_processing_and_refinement_fp_ammonia_production|emission_co2e_ch4_entc_processing_and_refinement_fp_hydrogen_electrolysis|emission_co2e_ch4_entc_processing_and_refinement_fp_hydrogen_gasification|emission_co2e_ch4_entc_processing_and_refinement_fp_hydrogen_reformation|emission_co2e_ch4_entc_processing_and_refinement_fp_hydrogen_reformation_ccs
emission_co2e_ch4_inen_agriculture_and_livestock|emission_co2e_ch4_inen_cement|emission_co2e_ch4_inen_chemicals|emission_co2e_ch4_inen_electronics|emission_co2e_ch4_inen_glass|emission_co2e_ch4_inen_lime_and_carbonite|emission_co2e_ch4_inen_metals|emission_co2e_ch4_inen_mining|emission_co2e_ch4_inen_other_product_manufacturing|emission_co2e_ch4_inen_paper|emission_co2e_ch4_inen_plastic|emission_co2e_ch4_inen_recycled_glass|emission_co2e_ch4_inen_recycled_metals|emission_co2e_ch4_inen_recycled_paper|emission_co2e_ch4_inen_recycled_plastic|emission_co2e_ch4_inen_recycled_rubber_and_leather|emission_co2e_ch4_inen_recycled_textiles|emission_co2e_ch4_inen_recycled_wood|emission_co2e_ch4_inen_rubber_and_leather|emission_co2e_ch4_inen_textiles</t>
  </si>
  <si>
    <t>emission_co2e_n2o_entc_processing_and_refinement_fp_petroleum_refinement</t>
  </si>
  <si>
    <t>NemoMod :math:\text{N}_2\text{O} Emissions from Fuel Processing and Refinement</t>
  </si>
  <si>
    <t>emission_co2e_n2o_entc_processing_and_refinement_fp_natural_gas</t>
  </si>
  <si>
    <t>:math:\text{N}_2\text{O} Emissions from Industrial Energy|NemoMod :math:\text{N}_2\text{O} Emissions from Fuel Processing and Refinement</t>
  </si>
  <si>
    <t>emission_co2e_n2o_entc_processing_and_refinement_fp_ammonia_production|emission_co2e_n2o_entc_processing_and_refinement_fp_hydrogen_electrolysis|emission_co2e_n2o_entc_processing_and_refinement_fp_hydrogen_gasification|emission_co2e_n2o_entc_processing_and_refinement_fp_hydrogen_reformation|emission_co2e_n2o_entc_processing_and_refinement_fp_hydrogen_reformation_ccs|emission_co2e_n2o_inen_agriculture_and_livestock|emission_co2e_n2o_inen_cement|emission_co2e_n2o_inen_chemicals|emission_co2e_n2o_inen_electronics|emission_co2e_n2o_inen_glass|emission_co2e_n2o_inen_lime_and_carbonite|emission_co2e_n2o_inen_metals|emission_co2e_n2o_inen_mining|emission_co2e_n2o_inen_other_product_manufacturing|emission_co2e_n2o_inen_paper|emission_co2e_n2o_inen_plastic|emission_co2e_n2o_inen_recycled_glass|emission_co2e_n2o_inen_recycled_metals|emission_co2e_n2o_inen_recycled_paper|emission_co2e_n2o_inen_recycled_plastic|emission_co2e_n2o_inen_recycled_rubber_and_leather|emission_co2e_n2o_inen_recycled_textiles|emission_co2e_n2o_inen_recycled_wood|emission_co2e_n2o_inen_rubber_and_leather|emission_co2e_n2o_inen_textiles</t>
  </si>
  <si>
    <t>emission_co2e_co2_entc_processing_and_refinement_fp_natural_gas</t>
  </si>
  <si>
    <t>emission_co2e_co2_entc_processing_and_refinement_fp_petroleum_refinement</t>
  </si>
  <si>
    <t>NemoMod :math:\text{CO}_2 Emissions from Fuel Processing and Refinement</t>
  </si>
  <si>
    <t>emission_co2e_co2_entc_processing_and_refinement_fp_ammonia_production</t>
  </si>
  <si>
    <t>IP</t>
  </si>
  <si>
    <t>Carbon Dioxide Emissions</t>
  </si>
  <si>
    <t>Industrial</t>
  </si>
  <si>
    <t>Coal|Natural Gas|Other|Petroleum</t>
  </si>
  <si>
    <t>emission_co2e_co2_entc_processing_and_refinement_fp_hydrogen_electrolysis|emission_co2e_co2_entc_processing_and_refinement_fp_hydrogen_gasification|emission_co2e_co2_entc_processing_and_refinement_fp_hydrogen_reformation|emission_co2e_co2_entc_processing_and_refinement_fp_hydrogen_reformation_ccs|emission_co2e_co2_inen_agriculture_and_livestock|emission_co2e_co2_inen_cement|emission_co2e_co2_inen_chemicals|emission_co2e_co2_inen_electronics|emission_co2e_co2_inen_glass|emission_co2e_co2_inen_lime_and_carbonite|emission_co2e_co2_inen_metals|emission_co2e_co2_inen_mining|emission_co2e_co2_inen_other_product_manufacturing|emission_co2e_co2_inen_paper|emission_co2e_co2_inen_plastic|emission_co2e_co2_inen_recycled_glass|emission_co2e_co2_inen_recycled_metals|emission_co2e_co2_inen_recycled_paper|emission_co2e_co2_inen_recycled_plastic|emission_co2e_co2_inen_recycled_rubber_and_leather|emission_co2e_co2_inen_recycled_textiles|emission_co2e_co2_inen_recycled_wood|emission_co2e_co2_inen_rubber_and_leather|emission_co2e_co2_inen_textiles</t>
  </si>
  <si>
    <t>:math:\text{CO}_2 Emissions from Industrial Energy|NemoMod :math:\text{CO}_2 Emissions from Fuel Processing and Refinement</t>
  </si>
  <si>
    <t>key:</t>
  </si>
  <si>
    <t>units:</t>
  </si>
  <si>
    <t>gas that is being measured</t>
  </si>
  <si>
    <t>(gas)</t>
  </si>
  <si>
    <r>
      <t xml:space="preserve">if the gas is present, the total refernced on the SIT sheet is in terms of the volume of </t>
    </r>
    <r>
      <rPr>
        <sz val="12"/>
        <color theme="1"/>
        <rFont val="Aptos Narrow"/>
        <scheme val="minor"/>
      </rPr>
      <t xml:space="preserve">gas emitted, </t>
    </r>
    <r>
      <rPr>
        <b/>
        <sz val="12"/>
        <color theme="1"/>
        <rFont val="Aptos Narrow"/>
        <scheme val="minor"/>
      </rPr>
      <t>not</t>
    </r>
    <r>
      <rPr>
        <sz val="12"/>
        <color theme="1"/>
        <rFont val="Aptos Narrow"/>
        <scheme val="minor"/>
      </rPr>
      <t xml:space="preserve"> the co2 equivalent</t>
    </r>
  </si>
  <si>
    <t>volume of that gas in co2e</t>
  </si>
  <si>
    <t>description</t>
  </si>
  <si>
    <t>sit_row</t>
  </si>
  <si>
    <t>row in the SIT sheet storing the time series to match</t>
  </si>
  <si>
    <t>sheet in the SIT to reference</t>
  </si>
  <si>
    <t>:math:\text{N}_2\text{O} Emissions from CCSQ</t>
  </si>
  <si>
    <t>emission_co2e_n2o_ccsq_direct_air_capture</t>
  </si>
  <si>
    <t>Carbon Capture and Sequestration</t>
  </si>
  <si>
    <t>:math:\text{CO}_2 Emissions from CCSQ</t>
  </si>
  <si>
    <t>emission_co2e_co2_ccsq_direct_air_capture</t>
  </si>
  <si>
    <t>:math:\text{CH}_4 Emissions from CCSQ</t>
  </si>
  <si>
    <t>emission_co2e_ch4_ccsq_direct_air_capture</t>
  </si>
  <si>
    <t>IPPU</t>
  </si>
  <si>
    <t>emission_co2e_co2_ippu_production_cement</t>
  </si>
  <si>
    <t>:math:\text{CO}_2 Emissions from Industrial Production Processes</t>
  </si>
  <si>
    <t>Cement Manufacture</t>
  </si>
  <si>
    <t>emission_co2e_co2_ippu_production_metals</t>
  </si>
  <si>
    <t>9|10</t>
  </si>
  <si>
    <t>emission_co2e_co2_ippu_production_lime_and_carbonite</t>
  </si>
  <si>
    <t>Lime Manufacture</t>
  </si>
  <si>
    <t>emission_co2e_co2_ippu_production_glass</t>
  </si>
  <si>
    <t>Soda Ash</t>
  </si>
  <si>
    <t>emission_co2e_n2o_ippu_production_chemicals</t>
  </si>
  <si>
    <t>:math:\text{N}_2\text{O} Emissions from Industrial Production Processes</t>
  </si>
  <si>
    <t>Nitric Acid Production|Adipic Acid Production</t>
  </si>
  <si>
    <t>15|16</t>
  </si>
  <si>
    <t>emission_co2e_co2_ippu_product_use_product_use_lubricants</t>
  </si>
  <si>
    <t>:math:\text{CO}_2 Emissions from Industrial Product Use</t>
  </si>
  <si>
    <t>emission_co2e_co2_ippu_product_use_product_use_other</t>
  </si>
  <si>
    <t>emission_co2e_co2_ippu_product_use_product_use_paraffin_wax</t>
  </si>
  <si>
    <t>emission_co2e_co2_ippu_production_chemicals</t>
  </si>
  <si>
    <t>emission_co2e_co2_ippu_production_paper</t>
  </si>
  <si>
    <t>emission_co2e_co2_ippu_production_plastic</t>
  </si>
  <si>
    <t>emission_co2e_co2_ippu_production_product_use_lubricants</t>
  </si>
  <si>
    <t>emission_co2e_co2_ippu_production_product_use_paraffin_wax</t>
  </si>
  <si>
    <t>emission_co2e_n2o_ippu_production_other_product_manufacturing</t>
  </si>
  <si>
    <t>emission_co2e_n2o_ippu_production_paper</t>
  </si>
  <si>
    <t>emission_co2e_n2o_ippu_production_plastic</t>
  </si>
  <si>
    <t>emission_co2e_c2f6_ippu_product_use_product_use_ods_other|emission_co2e_c2f6_ippu_production_chemicals|emission_co2e_c2f6_ippu_production_electronics|emission_co2e_c2f6_ippu_production_metals|emission_co2e_c2h3f3_ippu_product_use_product_use_ods_refrigeration|emission_co2e_c2h3f3_ippu_production_chemicals|emission_co2e_c2hf5_ippu_product_use_product_use_ods_other|emission_co2e_c2hf5_ippu_product_use_product_use_ods_refrigeration|emission_co2e_c2hf5_ippu_production_chemicals|emission_co2e_c3f8_ippu_production_chemicals|emission_co2e_c3f8_ippu_production_electronics|emission_co2e_c3h2f6_ippu_product_use_product_use_ods_other|emission_co2e_c3h2f6_ippu_product_use_product_use_ods_refrigeration|emission_co2e_c3h3f5_ippu_product_use_product_use_ods_other|emission_co2e_c3h3f5_ippu_product_use_product_use_ods_refrigeration|emission_co2e_c3hf7_ippu_product_use_product_use_ods_other|emission_co2e_c3hf7_ippu_product_use_product_use_ods_refrigeration|emission_co2e_c3hf7_ippu_production_chemicals|emission_co2e_c4f10_ippu_product_use_product_use_ods_other|emission_co2e_c4f10_ippu_production_chemicals|emission_co2e_c4f6_ippu_production_electronics|emission_co2e_c4h5f5_ippu_product_use_product_use_ods_other|emission_co2e_c4h5f5_ippu_production_chemicals|emission_co2e_c5f12_ippu_production_chemicals|emission_co2e_c5f8_ippu_production_electronics|emission_co2e_c5h2f10_ippu_product_use_product_use_ods_other|emission_co2e_c6f14_ippu_product_use_product_use_ods_other|emission_co2e_c6f14_ippu_production_chemicals|emission_co2e_cc4f8_ippu_production_chemicals|emission_co2e_cc4f8_ippu_production_electronics|emission_co2e_cf4_ippu_product_use_product_use_ods_other|emission_co2e_cf4_ippu_production_chemicals|emission_co2e_cf4_ippu_production_electronics|emission_co2e_cf4_ippu_production_metals|emission_co2e_ch2f2_ippu_product_use_product_use_ods_refrigeration|emission_co2e_ch2f2_ippu_production_chemicals|emission_co2e_ch2f2_ippu_production_electronics|emission_co2e_ch2fchf2_ippu_product_use_product_use_ods_other|emission_co2e_ch3cci2f_ippu_product_use_product_use_ods_other|emission_co2e_ch3ccif2_ippu_product_use_product_use_ods_other|emission_co2e_ch3chf2_ippu_product_use_product_use_ods_other|emission_co2e_ch3chf2_ippu_product_use_product_use_ods_refrigeration|emission_co2e_ch3chf2_ippu_production_chemicals|emission_co2e_ch3f_ippu_production_electronics|emission_co2e_chf2cf3_ippu_product_use_product_use_ods_other|emission_co2e_chf2cf3_ippu_product_use_product_use_ods_refrigeration|emission_co2e_chf2cf3_ippu_production_chemicals|emission_co2e_chf2chf2_ippu_product_use_product_use_ods_other|emission_co2e_chf3_ippu_product_use_product_use_ods_other|emission_co2e_chf3_ippu_product_use_product_use_ods_refrigeration|emission_co2e_chf3_ippu_production_chemicals|emission_co2e_chf3_ippu_production_electronics|emission_co2e_nf3_ippu_production_chemicals|emission_co2e_nf3_ippu_production_electronics|emission_co2e_sf6_ippu_production_chemicals|emission_co2e_sf6_ippu_production_electronics|emission_co2e_sf6_ippu_production_metals|emission_co2e_sf6_ippu_production_other_product_manufacturing</t>
  </si>
  <si>
    <t>:math:\text{NF}_3 Emissions from Industrial Production Processes|:math:\text{SF}_6 Emissions from Industrial Production Processes|Dodecafluoropentane Emissions from Industrial Production Processes|HCFC-141b Emissions from Industrial Product Use|HCFC-142b Emissions from Industrial Product Use|HFC-125 Emissions from Industrial Product Use|HFC-125 Emissions from Industrial Production Processes|HFC-134 Emissions from Industrial Product Use|HFC-134a Emissions from Industrial Product Use|HFC-134a Emissions from Industrial Production Processes|HFC-143 Emissions from Industrial Product Use|HFC-143a Emissions from Industrial Product Use|HFC-143a Emissions from Industrial Production Processes|HFC-152a Emissions from Industrial Product Use|HFC-152a Emissions from Industrial Production Processes|HFC-227ea Emissions from Industrial Product Use|HFC-227ea Emissions from Industrial Production Processes|HFC-23 Emissions from Industrial Product Use|HFC-23 Emissions from Industrial Production Processes|HFC-236fa Emissions from Industrial Product Use|HFC-245fa Emissions from Industrial Product Use|HFC-32 Emissions from Industrial Product Use|HFC-32 Emissions from Industrial Production Processes|HFC-365mfc Emissions from Industrial Product Use|HFC-365mfc Emissions from Industrial Production Processes|HFC-41 Emissions from Industrial Production Processes|HFC-43-10mee Emissions from Industrial Product Use|PFC-1114 Emissions from Industrial Production Processes|PFC-116 Emissions from Industrial Product Use|PFC-116 Emissions from Industrial Production Processes|PFC-14 Emissions from Industrial Product Use|PFC-14 Emissions from Industrial Production Processes|PFC-1418 Emissions from Industrial Production Processes|PFC-218 Emissions from Industrial Production Processes|PFC-31-10 Emissions from Industrial Product Use|PFC-31-10 Emissions from Industrial Production Processes|PFC-318 Emissions from Industrial Production Processes|PFC-51-14 Emissions from Industrial Product Use|PFC-51-14 Emissions from Industrial Production Processes</t>
  </si>
  <si>
    <t>c2f6|c2h3f3|c2hf5|c3f8|c3h2f6|c3h3f5|c3hf7|c4f10|c4f6|c4h5f5|c5f12|c5f8|c5h2f10|c6f14|cc4f8|cf4|ch2f2|ch2fchf2|ch3cci2f|ch3ccif2|ch3chf2|ch3f|chf2cf3|chf2chf2|chf3|nf3|sf6|sf6</t>
  </si>
  <si>
    <t>ODS Substitutes|Semiconductor Manufacturing|Magnesium Production|Electric Power Transmission and Distribution Systems|HCFC-22 Production|Aluminum Production, PFCs</t>
  </si>
  <si>
    <t>emission_co2e_ch4_ippu_production_chemicals</t>
  </si>
  <si>
    <t>:math:\text{CH}_4 Emissions from Industrial Production Processes</t>
  </si>
  <si>
    <t>emission_co2e_ch4_ippu_production_metals</t>
  </si>
  <si>
    <t>emission_co2e_ch4_ippu_production_paper</t>
  </si>
  <si>
    <t>emission_co2e_ch4_ippu_production_plastic</t>
  </si>
  <si>
    <t>19|20|21|22|23|24</t>
  </si>
  <si>
    <t>Agriculture</t>
  </si>
  <si>
    <t>Carbon Dioxide</t>
  </si>
  <si>
    <t xml:space="preserve">Liming </t>
  </si>
  <si>
    <t>Urea Fertilization</t>
  </si>
  <si>
    <t>Enteric Fermentation</t>
  </si>
  <si>
    <t>Manure Management</t>
  </si>
  <si>
    <t>Rice Cultivation</t>
  </si>
  <si>
    <t xml:space="preserve">Burning of Agricultural Crop Waste </t>
  </si>
  <si>
    <t>Methane</t>
  </si>
  <si>
    <t>emission_co2e_ch4_agrc_anaerobicdom_rice</t>
  </si>
  <si>
    <t>:math:\text{CH}_4 Emissions from Biomass Burning</t>
  </si>
  <si>
    <t>emission_co2e_ch4_agrc_biomass_burning</t>
  </si>
  <si>
    <t>emission_co2e_ch4_lvst_entferm_buffalo|emission_co2e_ch4_lvst_entferm_cattle_dairy|emission_co2e_ch4_lvst_entferm_cattle_nondairy|emission_co2e_ch4_lvst_entferm_chickens|emission_co2e_ch4_lvst_entferm_goats|emission_co2e_ch4_lvst_entferm_horses|emission_co2e_ch4_lvst_entferm_mules|emission_co2e_ch4_lvst_entferm_pigs|emission_co2e_ch4_lvst_entferm_sheep</t>
  </si>
  <si>
    <t>:math:\text{CH}_4 Emissions from Livestock Enteric Fermentation</t>
  </si>
  <si>
    <t>Livestock</t>
  </si>
  <si>
    <t>emission_co2e_ch4_lsmm_anaerobic_digester|emission_co2e_ch4_lsmm_anaerobic_lagoon|emission_co2e_ch4_lsmm_composting|emission_co2e_ch4_lsmm_daily_spread|emission_co2e_ch4_lsmm_deep_bedding|emission_co2e_ch4_lsmm_dry_lot|emission_co2e_ch4_lsmm_incineration|emission_co2e_ch4_lsmm_liquid_slurry|emission_co2e_ch4_lsmm_paddock_pasture_range|emission_co2e_ch4_lsmm_poultry_manure|emission_co2e_ch4_lsmm_storage_solid</t>
  </si>
  <si>
    <t>:math:\text{CH}_4 Emissions from Manure Management</t>
  </si>
  <si>
    <t>Livestock Manure Management</t>
  </si>
  <si>
    <t>Soil Management</t>
  </si>
  <si>
    <t>emission_co2e_co2_soil_urea_use</t>
  </si>
  <si>
    <t>:math:\text{CO}_2 Emissions from Urea</t>
  </si>
  <si>
    <t>emission_co2e_co2_soil_lime_use</t>
  </si>
  <si>
    <t>:math:\text{CO}_2 Emissions from Lime</t>
  </si>
  <si>
    <t>Nitrous Oxide</t>
  </si>
  <si>
    <t>emission_co2e_n2o_lsmm_anaerobic_digester|emission_co2e_n2o_lsmm_anaerobic_lagoon|emission_co2e_n2o_lsmm_composting|emission_co2e_n2o_lsmm_daily_spread|emission_co2e_n2o_lsmm_deep_bedding|emission_co2e_n2o_lsmm_dry_lot|emission_co2e_n2o_lsmm_incineration|emission_co2e_n2o_lsmm_liquid_slurry|emission_co2e_n2o_lsmm_paddock_pasture_range|emission_co2e_n2o_lsmm_poultry_manure|emission_co2e_n2o_lsmm_storage_solid</t>
  </si>
  <si>
    <t>:math:\text{N}_2\text{O} Emissions from Manure Management</t>
  </si>
  <si>
    <t>:math:\text{N}_2\text{O} Emissions from Biomass Burning</t>
  </si>
  <si>
    <t>emission_co2e_n2o_agrc_biomass_burning</t>
  </si>
  <si>
    <t>Agriculture|Soil Management</t>
  </si>
  <si>
    <t>emission_co2e_n2o_soil_fertilizer</t>
  </si>
  <si>
    <t>:math:\text{N}_2\text{O} Emissions from Fertilizer Use</t>
  </si>
  <si>
    <t>emission_co2e_n2o_agrc_crop_residues</t>
  </si>
  <si>
    <t>:math:\text{N}_2\text{O} Emissions from Crop Residues</t>
  </si>
  <si>
    <t>Crop Residues</t>
  </si>
  <si>
    <t>Direct</t>
  </si>
  <si>
    <t>Fertilizers</t>
  </si>
  <si>
    <t>Indirect</t>
  </si>
  <si>
    <t>emission_co2e_n2o_soil_mineral_soils|emission_co2e_n2o_soil_organic_soils|emission_co2e_n2o_soil_paddock_pasture_range</t>
  </si>
  <si>
    <t>:math:\text{N}_2\text{O} Emissions from Mineral Soils|:math:\text{N}_2\text{O} Emissions from Organic Soils|:math:\text{N}_2\text{O} Emissions from Paddock Pasture and Range</t>
  </si>
  <si>
    <t>emission_co2e_co2_agrc_biomass_bevs_and_spices</t>
  </si>
  <si>
    <t>:math:\text{CO}_2 Emissions from Biomass Carbon Stock Changes</t>
  </si>
  <si>
    <t>emission_co2e_co2_agrc_biomass_fruits</t>
  </si>
  <si>
    <t>emission_co2e_co2_agrc_biomass_nuts</t>
  </si>
  <si>
    <t>emission_co2e_co2_agrc_biomass_other_woody_perennial</t>
  </si>
  <si>
    <t>emission_co2e_co2_agrc_soil_carbon_organic_soils</t>
  </si>
  <si>
    <t>:math:\text{CO}_2 Emissions from Soil Carbon in Organic Soils</t>
  </si>
  <si>
    <t>Stationary Combustion and Other Energy</t>
  </si>
  <si>
    <t>Residential</t>
  </si>
  <si>
    <t>emission_co2e_n2o_scoe_residential</t>
  </si>
  <si>
    <t>:math:\text{N}_2\text{O} Emissions from SCOE</t>
  </si>
  <si>
    <t>emission_co2e_ch4_scoe_residential</t>
  </si>
  <si>
    <t>:math:\text{CH}_4 Emissions from SCOE</t>
  </si>
  <si>
    <t>emission_co2e_ch4_scoe_commercial_municipal|emission_co2e_ch4_scoe_other_se</t>
  </si>
  <si>
    <t>Commercial</t>
  </si>
  <si>
    <t>Commerical</t>
  </si>
  <si>
    <t>emission_co2e_n2o_scoe_commercial_municipal|emission_co2e_n2o_scoe_other_se</t>
  </si>
  <si>
    <t>emission_co2e_co2_scoe_residential</t>
  </si>
  <si>
    <t>emission_co2e_co2_scoe_commercial_municipal|emission_co2e_co2_scoe_other_se</t>
  </si>
  <si>
    <t>:math:\text{CO}_2 Emissions from SCOE</t>
  </si>
  <si>
    <t>5|6|7|8</t>
  </si>
  <si>
    <t>10|11|12|13</t>
  </si>
  <si>
    <t>emission_co2e_co2_soil_soc_mineral_soils</t>
  </si>
  <si>
    <t>:math:\\text{CO}_2 Emissions from Soil Carbon in Mineral Soils</t>
  </si>
  <si>
    <t>emission_co2e_co2_frst_sequestration_mangroves|emission_co2e_co2_frst_sequestration_primary|emission_co2e_co2_frst_sequestration_secondary</t>
  </si>
  <si>
    <t>Forest</t>
  </si>
  <si>
    <t>:math:\text{CO}_2 Emissions from Forest Biomass Sequestration</t>
  </si>
  <si>
    <t>Forest Management</t>
  </si>
  <si>
    <t>Forest Land Remaining Forest Land</t>
  </si>
  <si>
    <t>Aboveground Biomass|Belowground Biomass|Deadwood|Litter</t>
  </si>
  <si>
    <t>20|21|22|23</t>
  </si>
  <si>
    <t>emission_co2e_co2_frst_harvested_wood_products</t>
  </si>
  <si>
    <t>:math:\text{CH}_4 Emissions from Forests</t>
  </si>
  <si>
    <t>emission_co2e_ch4_frst_methane_secondary</t>
  </si>
  <si>
    <t>emission_co2e_ch4_frst_methane_primary</t>
  </si>
  <si>
    <t>emission_co2e_ch4_frst_methane_mangroves</t>
  </si>
  <si>
    <t>Total wood products and landfills</t>
  </si>
  <si>
    <t>:math:\text{CO}_2 Emissions from Harvested Wood Products</t>
  </si>
  <si>
    <t>emission_co2e_co2_lndu_biomass_sequestration_settlements</t>
  </si>
  <si>
    <t>Land Use</t>
  </si>
  <si>
    <t>:math:\text{CO}_2 Emissions from Land Use Biomass Sequestration</t>
  </si>
  <si>
    <t>Urban Trees</t>
  </si>
  <si>
    <t>:math:\text{CO}_2 Emissions from Forest Fires</t>
  </si>
  <si>
    <t>emission_co2e_co2_frst_forest_fires</t>
  </si>
  <si>
    <t>emission_co2e_ch4_lndu_wetlands</t>
  </si>
  <si>
    <t>:math:\text{CH}_4 Emissions from Wetlands</t>
  </si>
  <si>
    <t>emission_co2e_co2_lndu_conversion_croplands_to_forests_mangroves|emission_co2e_co2_lndu_conversion_croplands_to_forests_primary|emission_co2e_co2_lndu_conversion_croplands_to_forests_secondary|emission_co2e_co2_lndu_conversion_flooded_to_forests_mangroves|emission_co2e_co2_lndu_conversion_flooded_to_forests_primary|emission_co2e_co2_lndu_conversion_flooded_to_forests_secondary|emission_co2e_co2_lndu_conversion_grasslands_to_forests_mangroves|emission_co2e_co2_lndu_conversion_grasslands_to_forests_primary|emission_co2e_co2_lndu_conversion_grasslands_to_forests_secondary|emission_co2e_co2_lndu_conversion_other_to_forests_mangroves|emission_co2e_co2_lndu_conversion_other_to_forests_primary|emission_co2e_co2_lndu_conversion_other_to_forests_secondary|emission_co2e_co2_lndu_conversion_pastures_to_forests_mangroves|emission_co2e_co2_lndu_conversion_pastures_to_forests_primary|emission_co2e_co2_lndu_conversion_pastures_to_forests_secondary|emission_co2e_co2_lndu_conversion_settlements_to_forests_mangroves|emission_co2e_co2_lndu_conversion_settlements_to_forests_primary|emission_co2e_co2_lndu_conversion_settlements_to_forests_secondary|emission_co2e_co2_lndu_conversion_shrublands_to_forests_mangroves|emission_co2e_co2_lndu_conversion_shrublands_to_forests_primary|emission_co2e_co2_lndu_conversion_shrublands_to_forests_secondary|emission_co2e_co2_lndu_conversion_wetlands_to_forests_mangroves|emission_co2e_co2_lndu_conversion_wetlands_to_forests_primary|emission_co2e_co2_lndu_conversion_wetlands_to_forests_secondary</t>
  </si>
  <si>
    <t>:math:\text{CO}_2 Emissions from Land Use Conversion</t>
  </si>
  <si>
    <t>notes</t>
  </si>
  <si>
    <t>NOTE: there are equivalent rows in the Forest Management, but we do not account for conversions TO forest land immediately; those areas are accounted for in the next time step as part of "forest land remaining forest land", so they're not comparable</t>
  </si>
  <si>
    <t>emission_co2e_co2_lndu_conversion_forests_mangroves_to_croplands|emission_co2e_co2_lndu_conversion_forests_mangroves_to_flooded|emission_co2e_co2_lndu_conversion_forests_mangroves_to_grasslands|emission_co2e_co2_lndu_conversion_forests_mangroves_to_other|emission_co2e_co2_lndu_conversion_forests_mangroves_to_pastures|emission_co2e_co2_lndu_conversion_forests_mangroves_to_settlements|emission_co2e_co2_lndu_conversion_forests_mangroves_to_shrublands|emission_co2e_co2_lndu_conversion_forests_mangroves_to_wetlands|emission_co2e_co2_lndu_conversion_forests_primary_to_croplands|emission_co2e_co2_lndu_conversion_forests_primary_to_flooded|emission_co2e_co2_lndu_conversion_forests_primary_to_grasslands|emission_co2e_co2_lndu_conversion_forests_primary_to_other|emission_co2e_co2_lndu_conversion_forests_primary_to_pastures|emission_co2e_co2_lndu_conversion_forests_primary_to_settlements|emission_co2e_co2_lndu_conversion_forests_primary_to_shrublands|emission_co2e_co2_lndu_conversion_forests_primary_to_wetlands|emission_co2e_co2_lndu_conversion_forests_secondary_to_croplands|emission_co2e_co2_lndu_conversion_forests_secondary_to_flooded|emission_co2e_co2_lndu_conversion_forests_secondary_to_grasslands|emission_co2e_co2_lndu_conversion_forests_secondary_to_other|emission_co2e_co2_lndu_conversion_forests_secondary_to_pastures|emission_co2e_co2_lndu_conversion_forests_secondary_to_settlements|emission_co2e_co2_lndu_conversion_forests_secondary_to_shrublands|emission_co2e_co2_lndu_conversion_forests_secondary_to_wetlands</t>
  </si>
  <si>
    <t>Forest Land Converted to Land</t>
  </si>
  <si>
    <t>35|36|37|38</t>
  </si>
  <si>
    <t>emission_co2e_co2_lndu_conversion_croplands_to_croplands|emission_co2e_co2_lndu_conversion_croplands_to_flooded|emission_co2e_co2_lndu_conversion_croplands_to_grasslands|emission_co2e_co2_lndu_conversion_croplands_to_other|emission_co2e_co2_lndu_conversion_croplands_to_pastures|emission_co2e_co2_lndu_conversion_croplands_to_settlements|emission_co2e_co2_lndu_conversion_croplands_to_shrublands|emission_co2e_co2_lndu_conversion_croplands_to_wetlands|emission_co2e_co2_lndu_conversion_flooded_to_croplands|emission_co2e_co2_lndu_conversion_flooded_to_flooded|emission_co2e_co2_lndu_conversion_flooded_to_grasslands|emission_co2e_co2_lndu_conversion_flooded_to_other|emission_co2e_co2_lndu_conversion_flooded_to_pastures|emission_co2e_co2_lndu_conversion_flooded_to_settlements|emission_co2e_co2_lndu_conversion_flooded_to_shrublands|emission_co2e_co2_lndu_conversion_flooded_to_wetlands|emission_co2e_co2_lndu_conversion_forests_mangroves_to_forests_mangroves|emission_co2e_co2_lndu_conversion_forests_mangroves_to_forests_primary|emission_co2e_co2_lndu_conversion_forests_mangroves_to_forests_secondary|emission_co2e_co2_lndu_conversion_forests_primary_to_forests_mangroves|emission_co2e_co2_lndu_conversion_forests_primary_to_forests_primary|emission_co2e_co2_lndu_conversion_forests_primary_to_forests_secondary|emission_co2e_co2_lndu_conversion_forests_secondary_to_forests_mangroves|emission_co2e_co2_lndu_conversion_forests_secondary_to_forests_primary|emission_co2e_co2_lndu_conversion_forests_secondary_to_forests_secondary|emission_co2e_co2_lndu_conversion_grasslands_to_croplands|emission_co2e_co2_lndu_conversion_grasslands_to_flooded|emission_co2e_co2_lndu_conversion_grasslands_to_grasslands|emission_co2e_co2_lndu_conversion_grasslands_to_other|emission_co2e_co2_lndu_conversion_grasslands_to_pastures|emission_co2e_co2_lndu_conversion_grasslands_to_settlements|emission_co2e_co2_lndu_conversion_grasslands_to_shrublands|emission_co2e_co2_lndu_conversion_grasslands_to_wetlands|emission_co2e_co2_lndu_conversion_other_to_croplands|emission_co2e_co2_lndu_conversion_other_to_flooded|emission_co2e_co2_lndu_conversion_other_to_grasslands|emission_co2e_co2_lndu_conversion_other_to_other|emission_co2e_co2_lndu_conversion_other_to_pastures|emission_co2e_co2_lndu_conversion_other_to_settlements|emission_co2e_co2_lndu_conversion_other_to_shrublands|emission_co2e_co2_lndu_conversion_other_to_wetlands|emission_co2e_co2_lndu_conversion_pastures_to_croplands|emission_co2e_co2_lndu_conversion_pastures_to_flooded|emission_co2e_co2_lndu_conversion_pastures_to_grasslands|emission_co2e_co2_lndu_conversion_pastures_to_other|emission_co2e_co2_lndu_conversion_pastures_to_pastures|emission_co2e_co2_lndu_conversion_pastures_to_settlements|emission_co2e_co2_lndu_conversion_pastures_to_shrublands|emission_co2e_co2_lndu_conversion_pastures_to_wetlands|emission_co2e_co2_lndu_conversion_settlements_to_croplands|emission_co2e_co2_lndu_conversion_settlements_to_flooded|emission_co2e_co2_lndu_conversion_settlements_to_grasslands|emission_co2e_co2_lndu_conversion_settlements_to_other|emission_co2e_co2_lndu_conversion_settlements_to_pastures|emission_co2e_co2_lndu_conversion_settlements_to_settlements|emission_co2e_co2_lndu_conversion_settlements_to_shrublands|emission_co2e_co2_lndu_conversion_settlements_to_wetlands|emission_co2e_co2_lndu_conversion_shrublands_to_croplands|emission_co2e_co2_lndu_conversion_shrublands_to_flooded|emission_co2e_co2_lndu_conversion_shrublands_to_grasslands|emission_co2e_co2_lndu_conversion_shrublands_to_other|emission_co2e_co2_lndu_conversion_shrublands_to_pastures|emission_co2e_co2_lndu_conversion_shrublands_to_settlements|emission_co2e_co2_lndu_conversion_shrublands_to_shrublands|emission_co2e_co2_lndu_conversion_shrublands_to_wetlands|emission_co2e_co2_lndu_conversion_wetlands_to_croplands|emission_co2e_co2_lndu_conversion_wetlands_to_flooded|emission_co2e_co2_lndu_conversion_wetlands_to_grasslands|emission_co2e_co2_lndu_conversion_wetlands_to_other|emission_co2e_co2_lndu_conversion_wetlands_to_pastures|emission_co2e_co2_lndu_conversion_wetlands_to_settlements|emission_co2e_co2_lndu_conversion_wetlands_to_shrublands|emission_co2e_co2_lndu_conversion_wetlands_to_wetlands</t>
  </si>
  <si>
    <t>Conversions between other non-forest land use types are not considered. It doesn't appear as though (https://www.epa.gov/system/files/documents/2025-01/land-use-change-and-forestry-users-guide.pdf) shrublands are considered a biomass sink.</t>
  </si>
  <si>
    <t>emission_co2e_co2_lndu_biomass_sequestration_grasslands|emission_co2e_co2_lndu_biomass_sequestration_other|emission_co2e_co2_lndu_biomass_sequestration_pastures|emission_co2e_co2_lndu_biomass_sequestration_shrublands|emission_co2e_co2_lndu_biomass_sequestration_wetlands</t>
  </si>
  <si>
    <t>emission_co2e_ch4_waso_landfilled_chemical_industrial|emission_co2e_ch4_waso_landfilled_food|emission_co2e_ch4_waso_landfilled_glass|emission_co2e_ch4_waso_landfilled_metal|emission_co2e_ch4_waso_landfilled_nappies|emission_co2e_ch4_waso_landfilled_other|emission_co2e_ch4_waso_landfilled_paper|emission_co2e_ch4_waso_landfilled_plastic|emission_co2e_ch4_waso_landfilled_rubber_leather|emission_co2e_ch4_waso_landfilled_sludge|emission_co2e_ch4_waso_landfilled_textiles|emission_co2e_ch4_waso_landfilled_wood|emission_co2e_ch4_waso_landfilled_yard</t>
  </si>
  <si>
    <t>:math:\text{CH}_4 Emissions from Landfills</t>
  </si>
  <si>
    <t>Solid Waste</t>
  </si>
  <si>
    <t>Waste</t>
  </si>
  <si>
    <t>emission_co2e_ch4_waso_open_dump_chemical_industrial|emission_co2e_ch4_waso_open_dump_food|emission_co2e_ch4_waso_open_dump_glass|emission_co2e_ch4_waso_open_dump_metal|emission_co2e_ch4_waso_open_dump_nappies|emission_co2e_ch4_waso_open_dump_other|emission_co2e_ch4_waso_open_dump_paper|emission_co2e_ch4_waso_open_dump_plastic|emission_co2e_ch4_waso_open_dump_rubber_leather|emission_co2e_ch4_waso_open_dump_sludge|emission_co2e_ch4_waso_open_dump_textiles|emission_co2e_ch4_waso_open_dump_wood|emission_co2e_ch4_waso_open_dump_yard</t>
  </si>
  <si>
    <t>:math:\text{CH}_4 Emissions from Open Dumping</t>
  </si>
  <si>
    <t>emission_co2e_ch4_waso_biogas_food|emission_co2e_ch4_waso_biogas_sludge|emission_co2e_ch4_waso_biogas_yard</t>
  </si>
  <si>
    <t>:math:\text{CH}_4 Emissions from Anaerobic Biogas</t>
  </si>
  <si>
    <t>emission_co2e_ch4_waso_compost_food|emission_co2e_ch4_waso_compost_sludge|emission_co2e_ch4_waso_compost_yard</t>
  </si>
  <si>
    <t>:math:\text{CH}_4 Emissions from Composting</t>
  </si>
  <si>
    <t>emission_co2e_ch4_waso_incineration</t>
  </si>
  <si>
    <t>:math:\text{CH}_4 Emissions from Incineration</t>
  </si>
  <si>
    <t>:math:\text{CO}_2 Emissions from Incineration</t>
  </si>
  <si>
    <t>emission_co2e_co2_waso_incineration</t>
  </si>
  <si>
    <t>:math:\text{N}_2\text{O} Emissions from Composting</t>
  </si>
  <si>
    <t>emission_co2e_n2o_waso_compost_food|emission_co2e_n2o_waso_compost_sludge|emission_co2e_n2o_waso_compost_yard</t>
  </si>
  <si>
    <t>emission_co2e_n2o_waso_incineration</t>
  </si>
  <si>
    <t>:math:\text{N}_2\text{O} Emissions from Incineration</t>
  </si>
  <si>
    <t>emission_co2e_ch4_trww_treated_advanced_aerobic_treatment|emission_co2e_ch4_trww_treated_advanced_anaerobic_treatment|emission_co2e_ch4_trww_treated_latrine_improved_treatment|emission_co2e_ch4_trww_treated_latrine_unimproved_treatment|emission_co2e_ch4_trww_treated_primary_treatment|emission_co2e_ch4_trww_treated_secondary_aerobic_treatment|emission_co2e_ch4_trww_treated_secondary_anaerobic_treatment|emission_co2e_ch4_trww_treated_septic_treatment|emission_co2e_ch4_trww_untreated_no_sewerage_treatment|emission_co2e_ch4_trww_untreated_with_sewerage_treatment</t>
  </si>
  <si>
    <t>:math:\text{CH}_4 Emissions from Wastewater Treatment</t>
  </si>
  <si>
    <t>Wastewater Treatment</t>
  </si>
  <si>
    <t>:math:\text{N}_2\text{O} Emissions from Wastewater Effluent|:math:\text{N}_2\text{O} Emissions from Wastewater Treatment</t>
  </si>
  <si>
    <t>emission_co2e_n2o_trww_treated_advanced_aerobic_effluent|emission_co2e_n2o_trww_treated_advanced_anaerobic_effluent|emission_co2e_n2o_trww_treated_latrine_improved_effluent|emission_co2e_n2o_trww_treated_latrine_unimproved_effluent|emission_co2e_n2o_trww_treated_primary_effluent|emission_co2e_n2o_trww_treated_secondary_aerobic_effluent|emission_co2e_n2o_trww_treated_secondary_anaerobic_effluent|emission_co2e_n2o_trww_treated_septic_effluent|emission_co2e_n2o_trww_untreated_no_sewerage_effluent|emission_co2e_n2o_trww_untreated_with_sewerage_effluent|emission_co2e_n2o_trww_treated_advanced_aerobic_treatment|emission_co2e_n2o_trww_treated_advanced_anaerobic_treatment|emission_co2e_n2o_trww_treated_latrine_improved_treatment|emission_co2e_n2o_trww_treated_latrine_unimproved_treatment|emission_co2e_n2o_trww_treated_primary_treatment|emission_co2e_n2o_trww_treated_secondary_aerobic_treatment|emission_co2e_n2o_trww_treated_secondary_anaerobic_treatment|emission_co2e_n2o_trww_treated_septic_treatment|emission_co2e_n2o_trww_untreated_no_sewerage_treatment|emission_co2e_n2o_trww_untreated_with_sewerage_treatment</t>
  </si>
  <si>
    <t>Wastewater</t>
  </si>
  <si>
    <t>5|7</t>
  </si>
  <si>
    <r>
      <t>Emissions by Gas (MMTCH</t>
    </r>
    <r>
      <rPr>
        <vertAlign val="subscript"/>
        <sz val="11"/>
        <color theme="1"/>
        <rFont val="Arial"/>
        <family val="2"/>
      </rPr>
      <t xml:space="preserve">4 </t>
    </r>
    <r>
      <rPr>
        <sz val="11"/>
        <color theme="1"/>
        <rFont val="Arial"/>
        <family val="2"/>
      </rPr>
      <t>or MMTN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O)</t>
    </r>
  </si>
  <si>
    <r>
      <t>Nitrous Oxide Emissions from Agricultural Soil Management (Metric Tons N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O)</t>
    </r>
  </si>
  <si>
    <r>
      <t>Emissions (MMTCO</t>
    </r>
    <r>
      <rPr>
        <vertAlign val="subscript"/>
        <sz val="11"/>
        <color theme="1"/>
        <rFont val="Arial"/>
        <family val="2"/>
      </rPr>
      <t xml:space="preserve">2 </t>
    </r>
    <r>
      <rPr>
        <sz val="11"/>
        <color theme="1"/>
        <rFont val="Arial"/>
        <family val="2"/>
      </rPr>
      <t>Eq.)</t>
    </r>
  </si>
  <si>
    <r>
      <t>Emissions (MTCO</t>
    </r>
    <r>
      <rPr>
        <vertAlign val="subscript"/>
        <sz val="11"/>
        <color theme="1"/>
        <rFont val="Arial"/>
        <family val="2"/>
      </rPr>
      <t xml:space="preserve">2 </t>
    </r>
    <r>
      <rPr>
        <sz val="11"/>
        <color theme="1"/>
        <rFont val="Arial"/>
        <family val="2"/>
      </rPr>
      <t>Eq.)</t>
    </r>
  </si>
  <si>
    <r>
      <t>Aluminum Production, CO</t>
    </r>
    <r>
      <rPr>
        <vertAlign val="subscript"/>
        <sz val="11"/>
        <color theme="1"/>
        <rFont val="Arial"/>
        <family val="2"/>
      </rPr>
      <t>2</t>
    </r>
  </si>
  <si>
    <r>
      <t>Emissions (MTCO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E)</t>
    </r>
  </si>
  <si>
    <r>
      <t>Emissions by Gas (MTCH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)</t>
    </r>
  </si>
  <si>
    <r>
      <t>Emissions (MMTCO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E)</t>
    </r>
  </si>
  <si>
    <r>
      <t>HFC, PFC, SF</t>
    </r>
    <r>
      <rPr>
        <vertAlign val="subscript"/>
        <sz val="11"/>
        <color theme="1"/>
        <rFont val="Arial"/>
        <family val="2"/>
      </rPr>
      <t>6</t>
    </r>
    <r>
      <rPr>
        <sz val="11"/>
        <color theme="1"/>
        <rFont val="Arial"/>
        <family val="2"/>
      </rPr>
      <t xml:space="preserve"> and NF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Emissions</t>
    </r>
  </si>
  <si>
    <r>
      <t>Aluminum Production, CO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|Iron &amp; Steel Production</t>
    </r>
  </si>
  <si>
    <r>
      <t>CO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and N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O Emissions from Waste Combustion (MTCO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E)</t>
    </r>
  </si>
  <si>
    <r>
      <t>CH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Emissions from Landfills (MTCO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E)</t>
    </r>
  </si>
  <si>
    <r>
      <t>Total CH</t>
    </r>
    <r>
      <rPr>
        <vertAlign val="subscript"/>
        <sz val="11"/>
        <color theme="1"/>
        <rFont val="Arial"/>
        <family val="2"/>
      </rPr>
      <t xml:space="preserve">4 </t>
    </r>
    <r>
      <rPr>
        <sz val="11"/>
        <color theme="1"/>
        <rFont val="Arial"/>
        <family val="2"/>
      </rPr>
      <t xml:space="preserve">Emissions </t>
    </r>
  </si>
  <si>
    <r>
      <t>CO</t>
    </r>
    <r>
      <rPr>
        <vertAlign val="subscript"/>
        <sz val="11"/>
        <color theme="1"/>
        <rFont val="Arial"/>
        <family val="2"/>
      </rPr>
      <t>2</t>
    </r>
  </si>
  <si>
    <r>
      <t>N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O</t>
    </r>
  </si>
  <si>
    <r>
      <t>CH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Emissions from Mobile Sources (MTCO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E)</t>
    </r>
  </si>
  <si>
    <r>
      <t>N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O Emissions from Mobile Sources (MTCO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E)</t>
    </r>
  </si>
  <si>
    <r>
      <t>Municipal CH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|Industrial CH4</t>
    </r>
  </si>
  <si>
    <r>
      <t>Municipal N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O </t>
    </r>
  </si>
  <si>
    <t>15|17|18|16</t>
  </si>
  <si>
    <t>2021:MTCO2e:factor</t>
  </si>
  <si>
    <t>2021:MTCO2e:value</t>
  </si>
  <si>
    <t>MTCO2e:factor</t>
  </si>
  <si>
    <r>
      <t>Aluminum Production, CO</t>
    </r>
    <r>
      <rPr>
        <vertAlign val="subscript"/>
        <sz val="11"/>
        <color rgb="FFFF0000"/>
        <rFont val="Arial"/>
        <family val="2"/>
      </rPr>
      <t>2</t>
    </r>
  </si>
  <si>
    <t>emission_co2e_co2_lndu_drained_organic_soils_croplands|emission_co2e_co2_lndu_drained_organic_soils_pastures</t>
  </si>
  <si>
    <t>:math:\text{CO}_2 Emissions from Drained Organic Soils</t>
  </si>
  <si>
    <t>Ammonia Production</t>
  </si>
  <si>
    <t>emission_co2e_ch4_fgtv_fuel_coal</t>
  </si>
  <si>
    <t>emission_co2e_ch4_fgtv_fuel_oil</t>
  </si>
  <si>
    <t>emission_co2e_ch4_fgtv_fuel_natural_gas</t>
  </si>
  <si>
    <t xml:space="preserve">emission_co2e_co2_entc_fuel_mining_and_extraction_me_coal|emission_co2e_co2_entc_fuel_mining_and_extraction_me_crude|emission_co2e_co2_entc_fuel_mining_and_extraction_me_natural_gas|emission_co2e_co2_entc_processing_and_refinement_fp_hydrogen_electrolysis|emission_co2e_co2_entc_processing_and_refinement_fp_hydrogen_gasification|emission_co2e_co2_entc_processing_and_refinement_fp_hydrogen_reformation|emission_co2e_co2_entc_processing_and_refinement_fp_hydrogen_reformation_ccs|emission_co2e_co2_entc_processing_and_refinement_fp_natural_gas|emission_co2e_co2_entc_processing_and_refinement_fp_natural_gas_liquefaction|emission_co2e_co2_entc_processing_and_refinement_fp_petroleum_refinement|emission_co2e_co2_inen_agriculture_and_livestock|emission_co2e_co2_inen_cement|emission_co2e_co2_inen_chemicals|emission_co2e_co2_inen_electronics|emission_co2e_co2_inen_glass|emission_co2e_co2_inen_lime_and_carbonite|emission_co2e_co2_inen_metals|emission_co2e_co2_inen_mining|emission_co2e_co2_inen_other_product_manufacturing|emission_co2e_co2_inen_paper|emission_co2e_co2_inen_plastic|emission_co2e_co2_inen_recycled_glass|emission_co2e_co2_inen_recycled_metals|emission_co2e_co2_inen_recycled_paper|emission_co2e_co2_inen_recycled_plastic|emission_co2e_co2_inen_recycled_rubber_and_leather|emission_co2e_co2_inen_recycled_textiles|emission_co2e_co2_inen_recycled_wood|emission_co2e_co2_inen_rubber_and_leather|emission_co2e_co2_inen_textiles </t>
  </si>
  <si>
    <t>15|16|17|18</t>
  </si>
  <si>
    <t>emission_co2e_ch4_entc_fuel_mining_and_extraction_me_coal|emission_co2e_ch4_entc_fuel_mining_and_extraction_me_crude|emission_co2e_ch4_entc_fuel_mining_and_extraction_me_natural_gas|emission_co2e_ch4_entc_processing_and_refinement_fp_ammonia_production|emission_co2e_ch4_entc_processing_and_refinement_fp_hydrogen_electrolysis|emission_co2e_ch4_entc_processing_and_refinement_fp_hydrogen_gasification|emission_co2e_ch4_entc_processing_and_refinement_fp_hydrogen_reformation|emission_co2e_ch4_entc_processing_and_refinement_fp_hydrogen_reformation_ccs|emission_co2e_ch4_entc_processing_and_refinement_fp_natural_gas|emission_co2e_ch4_entc_processing_and_refinement_fp_natural_gas_liquefaction|emission_co2e_ch4_entc_processing_and_refinement_fp_petroleum_refinement|emission_co2e_ch4_inen_agriculture_and_livestock|emission_co2e_ch4_inen_cement|emission_co2e_ch4_inen_chemicals|emission_co2e_ch4_inen_electronics|emission_co2e_ch4_inen_glass|emission_co2e_ch4_inen_lime_and_carbonite|emission_co2e_ch4_inen_metals|emission_co2e_ch4_inen_mining|emission_co2e_ch4_inen_other_product_manufacturing|emission_co2e_ch4_inen_paper|emission_co2e_ch4_inen_plastic|emission_co2e_ch4_inen_recycled_glass|emission_co2e_ch4_inen_recycled_metals|emission_co2e_ch4_inen_recycled_paper|emission_co2e_ch4_inen_recycled_plastic|emission_co2e_ch4_inen_recycled_rubber_and_leather|emission_co2e_ch4_inen_recycled_textiles|emission_co2e_ch4_inen_recycled_wood|emission_co2e_ch4_inen_rubber_and_leather|emission_co2e_ch4_inen_textiles</t>
  </si>
  <si>
    <t>emission_co2e_n2o_entc_fuel_mining_and_extraction_me_coal|emission_co2e_n2o_entc_fuel_mining_and_extraction_me_crude|emission_co2e_n2o_entc_fuel_mining_and_extraction_me_natural_gas|emission_co2e_n2o_entc_processing_and_refinement_fp_ammonia_production|emission_co2e_n2o_entc_processing_and_refinement_fp_hydrogen_electrolysis|emission_co2e_n2o_entc_processing_and_refinement_fp_hydrogen_gasification|emission_co2e_n2o_entc_processing_and_refinement_fp_hydrogen_reformation|emission_co2e_n2o_entc_processing_and_refinement_fp_hydrogen_reformation_ccs|emission_co2e_n2o_entc_processing_and_refinement_fp_natural_gas|emission_co2e_n2o_entc_processing_and_refinement_fp_natural_gas_liquefaction|emission_co2e_n2o_entc_processing_and_refinement_fp_petroleum_refinement|emission_co2e_n2o_inen_agriculture_and_livestock|emission_co2e_n2o_inen_cement|emission_co2e_n2o_inen_chemicals|emission_co2e_n2o_inen_electronics|emission_co2e_n2o_inen_glass|emission_co2e_n2o_inen_lime_and_carbonite|emission_co2e_n2o_inen_metals|emission_co2e_n2o_inen_mining|emission_co2e_n2o_inen_other_product_manufacturing|emission_co2e_n2o_inen_paper|emission_co2e_n2o_inen_plastic|emission_co2e_n2o_inen_recycled_glass|emission_co2e_n2o_inen_recycled_metals|emission_co2e_n2o_inen_recycled_paper|emission_co2e_n2o_inen_recycled_plastic|emission_co2e_n2o_inen_recycled_rubber_and_leather|emission_co2e_n2o_inen_recycled_textiles|emission_co2e_n2o_inen_recycled_wood|emission_co2e_n2o_inen_rubber_and_leather|emission_co2e_n2o_inen_textiles</t>
  </si>
  <si>
    <t>emission_co2e_n2o_lsmm_direct_anaerobic_digester|emission_co2e_n2o_lsmm_direct_anaerobic_lagoon|emission_co2e_n2o_lsmm_direct_composting|emission_co2e_n2o_lsmm_direct_daily_spread|emission_co2e_n2o_lsmm_direct_deep_bedding|emission_co2e_n2o_lsmm_direct_dry_lot|emission_co2e_n2o_lsmm_direct_incineration|emission_co2e_n2o_lsmm_direct_liquid_slurry|emission_co2e_n2o_lsmm_direct_paddock_pasture_range|emission_co2e_n2o_lsmm_direct_poultry_manure|emission_co2e_n2o_lsmm_direct_storage_solid|emission_co2e_n2o_lsmm_indirect_anaerobic_digester|emission_co2e_n2o_lsmm_indirect_anaerobic_lagoon|emission_co2e_n2o_lsmm_indirect_composting|emission_co2e_n2o_lsmm_indirect_daily_spread|emission_co2e_n2o_lsmm_indirect_deep_bedding|emission_co2e_n2o_lsmm_indirect_dry_lot|emission_co2e_n2o_lsmm_indirect_incineration|emission_co2e_n2o_lsmm_indirect_liquid_slurry|emission_co2e_n2o_lsmm_indirect_paddock_pasture_range|emission_co2e_n2o_lsmm_indirect_poultry_manure|emission_co2e_n2o_lsmm_indirect_storage_solid</t>
  </si>
  <si>
    <t>subsector_long</t>
  </si>
  <si>
    <t>Subsector</t>
  </si>
  <si>
    <t>agrc</t>
  </si>
  <si>
    <t>ccsq</t>
  </si>
  <si>
    <t>entc</t>
  </si>
  <si>
    <t>fgtv</t>
  </si>
  <si>
    <t>frst</t>
  </si>
  <si>
    <t>ippu</t>
  </si>
  <si>
    <t>lndu</t>
  </si>
  <si>
    <t>lvst</t>
  </si>
  <si>
    <t>soil</t>
  </si>
  <si>
    <t>scoe</t>
  </si>
  <si>
    <t>trns</t>
  </si>
  <si>
    <t>trww</t>
  </si>
  <si>
    <t>waso</t>
  </si>
  <si>
    <t>inen</t>
  </si>
  <si>
    <t>co2_def</t>
  </si>
  <si>
    <t>lsmm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</si>
</sst>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00_);_(* \(#,##0.000\);_(* &quot;-&quot;??_);_(@_)"/>
    <numFmt numFmtId="165" formatCode="0.0000"/>
    <numFmt numFmtId="166" formatCode="0.0000000"/>
    <numFmt numFmtId="167" formatCode="_(* #,##0_);_(* \(#,##0\);_(* &quot;-&quot;??_);_(@_)"/>
  </numFmts>
  <fonts count="15" x14ac:knownFonts="1">
    <font>
      <sz val="12"/>
      <color theme="1"/>
      <name val="Aptos Narrow"/>
      <family val="2"/>
      <scheme val="minor"/>
    </font>
    <font>
      <sz val="11"/>
      <color theme="1"/>
      <name val="Aptos"/>
    </font>
    <font>
      <sz val="10"/>
      <name val="Arial"/>
      <family val="2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rial"/>
      <family val="2"/>
    </font>
    <font>
      <sz val="11"/>
      <color theme="1"/>
      <name val="Arial"/>
      <family val="2"/>
    </font>
    <font>
      <vertAlign val="subscript"/>
      <sz val="11"/>
      <color theme="1"/>
      <name val="Arial"/>
      <family val="2"/>
    </font>
    <font>
      <i/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sz val="8"/>
      <name val="Comic Sans MS"/>
      <family val="4"/>
    </font>
    <font>
      <b/>
      <sz val="8"/>
      <name val="Comic Sans MS"/>
      <family val="4"/>
    </font>
    <font>
      <sz val="11"/>
      <color rgb="FFFF0000"/>
      <name val="Arial"/>
      <family val="2"/>
    </font>
    <font>
      <vertAlign val="subscript"/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/>
    <xf numFmtId="0" fontId="2" fillId="0" borderId="0" applyBorder="0"/>
    <xf numFmtId="0" fontId="2" fillId="0" borderId="0" applyBorder="0"/>
    <xf numFmtId="0" fontId="2" fillId="0" borderId="0"/>
    <xf numFmtId="0" fontId="2" fillId="0" borderId="0" applyBorder="0"/>
    <xf numFmtId="0" fontId="6" fillId="0" borderId="0"/>
    <xf numFmtId="0" fontId="2" fillId="0" borderId="0"/>
    <xf numFmtId="0" fontId="6" fillId="0" borderId="0"/>
    <xf numFmtId="43" fontId="10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7" fillId="2" borderId="0" xfId="4" applyFont="1" applyFill="1" applyBorder="1"/>
    <xf numFmtId="0" fontId="7" fillId="2" borderId="0" xfId="1" applyFont="1" applyFill="1" applyBorder="1"/>
    <xf numFmtId="0" fontId="7" fillId="2" borderId="0" xfId="0" applyFont="1" applyFill="1" applyAlignment="1">
      <alignment horizontal="left" indent="1"/>
    </xf>
    <xf numFmtId="0" fontId="7" fillId="2" borderId="0" xfId="2" applyFont="1" applyFill="1" applyBorder="1"/>
    <xf numFmtId="0" fontId="9" fillId="2" borderId="0" xfId="5" applyFont="1" applyFill="1" applyAlignment="1">
      <alignment horizontal="left" indent="2"/>
    </xf>
    <xf numFmtId="0" fontId="7" fillId="2" borderId="0" xfId="7" applyFont="1" applyFill="1"/>
    <xf numFmtId="0" fontId="7" fillId="2" borderId="0" xfId="6" applyFont="1" applyFill="1"/>
    <xf numFmtId="0" fontId="7" fillId="2" borderId="0" xfId="3" applyFont="1" applyFill="1" applyAlignment="1">
      <alignment horizontal="left"/>
    </xf>
    <xf numFmtId="0" fontId="12" fillId="0" borderId="1" xfId="4" applyFont="1" applyBorder="1"/>
    <xf numFmtId="0" fontId="7" fillId="3" borderId="0" xfId="0" applyFont="1" applyFill="1"/>
    <xf numFmtId="0" fontId="7" fillId="3" borderId="0" xfId="4" applyFont="1" applyFill="1" applyBorder="1"/>
    <xf numFmtId="0" fontId="7" fillId="3" borderId="0" xfId="0" applyFont="1" applyFill="1" applyAlignment="1">
      <alignment horizontal="center"/>
    </xf>
    <xf numFmtId="164" fontId="11" fillId="3" borderId="0" xfId="8" applyNumberFormat="1" applyFont="1" applyFill="1" applyBorder="1"/>
    <xf numFmtId="0" fontId="1" fillId="3" borderId="0" xfId="0" applyFont="1" applyFill="1"/>
    <xf numFmtId="0" fontId="7" fillId="3" borderId="0" xfId="1" applyFont="1" applyFill="1" applyBorder="1"/>
    <xf numFmtId="0" fontId="7" fillId="3" borderId="0" xfId="4" applyFont="1" applyFill="1" applyBorder="1" applyAlignment="1">
      <alignment horizontal="left" indent="1"/>
    </xf>
    <xf numFmtId="2" fontId="1" fillId="0" borderId="0" xfId="0" applyNumberFormat="1" applyFont="1"/>
    <xf numFmtId="2" fontId="1" fillId="3" borderId="0" xfId="0" applyNumberFormat="1" applyFont="1" applyFill="1"/>
    <xf numFmtId="165" fontId="1" fillId="3" borderId="0" xfId="0" applyNumberFormat="1" applyFont="1" applyFill="1"/>
    <xf numFmtId="166" fontId="1" fillId="3" borderId="0" xfId="0" applyNumberFormat="1" applyFont="1" applyFill="1"/>
    <xf numFmtId="0" fontId="13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167" fontId="11" fillId="0" borderId="0" xfId="8" applyNumberFormat="1" applyFont="1"/>
    <xf numFmtId="0" fontId="7" fillId="2" borderId="0" xfId="4" applyFont="1" applyFill="1" applyBorder="1" applyAlignment="1">
      <alignment horizontal="left" indent="1"/>
    </xf>
  </cellXfs>
  <cellStyles count="9">
    <cellStyle name="Comma" xfId="8" builtinId="3"/>
    <cellStyle name="Normal" xfId="0" builtinId="0"/>
    <cellStyle name="Normal_ag" xfId="4" xr:uid="{A4252C3C-BB71-FE4D-AE5B-6DD05563D9DA}"/>
    <cellStyle name="Normal_Book1" xfId="5" xr:uid="{CC448248-A004-7442-87C5-BF772CD189AF}"/>
    <cellStyle name="Normal_Coal Module_10.9" xfId="2" xr:uid="{489AF448-AF38-6A41-AEF9-00E65E599ED4}"/>
    <cellStyle name="Normal_Coal Module_7.23" xfId="1" xr:uid="{1D4973DF-65E3-9049-8EDC-62C971DACD05}"/>
    <cellStyle name="Normal_Energy Module2" xfId="7" xr:uid="{A72EC5D0-D32B-8242-8D68-291CEA9BA3F8}"/>
    <cellStyle name="Normal_mobile96" xfId="3" xr:uid="{D1DE3E8F-8DA4-1A46-82AC-8538952BE4C8}"/>
    <cellStyle name="Normal_Waste Module 10.23.02" xfId="6" xr:uid="{ECF3F9F4-AE0D-E74E-8F16-62E46CC5B5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2222-B6DA-9846-A794-B1E0E647A932}">
  <dimension ref="A1:C6"/>
  <sheetViews>
    <sheetView workbookViewId="0">
      <selection activeCell="C5" sqref="C5"/>
    </sheetView>
  </sheetViews>
  <sheetFormatPr baseColWidth="10" defaultColWidth="11" defaultRowHeight="16" x14ac:dyDescent="0.2"/>
  <sheetData>
    <row r="1" spans="1:3" x14ac:dyDescent="0.2">
      <c r="A1" t="s">
        <v>118</v>
      </c>
      <c r="C1" t="s">
        <v>124</v>
      </c>
    </row>
    <row r="2" spans="1:3" x14ac:dyDescent="0.2">
      <c r="A2" t="s">
        <v>84</v>
      </c>
      <c r="C2" t="s">
        <v>120</v>
      </c>
    </row>
    <row r="3" spans="1:3" x14ac:dyDescent="0.2">
      <c r="A3" t="s">
        <v>119</v>
      </c>
      <c r="B3" t="s">
        <v>14</v>
      </c>
      <c r="C3" t="s">
        <v>123</v>
      </c>
    </row>
    <row r="4" spans="1:3" x14ac:dyDescent="0.2">
      <c r="B4" t="s">
        <v>121</v>
      </c>
      <c r="C4" t="s">
        <v>122</v>
      </c>
    </row>
    <row r="5" spans="1:3" x14ac:dyDescent="0.2">
      <c r="A5" t="s">
        <v>78</v>
      </c>
      <c r="C5" t="s">
        <v>127</v>
      </c>
    </row>
    <row r="6" spans="1:3" x14ac:dyDescent="0.2">
      <c r="A6" t="s">
        <v>125</v>
      </c>
      <c r="C6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5CE76-D122-B846-99B1-A3A394E64618}">
  <dimension ref="A1:BC114"/>
  <sheetViews>
    <sheetView zoomScale="110" zoomScaleNormal="110" workbookViewId="0">
      <pane xSplit="7" topLeftCell="J1" activePane="topRight" state="frozen"/>
      <selection pane="topRight" activeCell="N18" sqref="N18:AW18"/>
    </sheetView>
  </sheetViews>
  <sheetFormatPr baseColWidth="10" defaultColWidth="10.83203125" defaultRowHeight="15" x14ac:dyDescent="0.2"/>
  <cols>
    <col min="1" max="1" width="35.1640625" style="1" bestFit="1" customWidth="1"/>
    <col min="2" max="2" width="10.83203125" style="1"/>
    <col min="3" max="3" width="49" style="1" customWidth="1"/>
    <col min="4" max="4" width="70.83203125" style="1" customWidth="1"/>
    <col min="5" max="5" width="11.1640625" style="1" customWidth="1"/>
    <col min="6" max="6" width="10.83203125" style="1"/>
    <col min="7" max="7" width="16" style="1" bestFit="1" customWidth="1"/>
    <col min="8" max="8" width="10.83203125" style="1"/>
    <col min="9" max="9" width="67.1640625" style="1" bestFit="1" customWidth="1"/>
    <col min="10" max="10" width="51.83203125" style="1" bestFit="1" customWidth="1"/>
    <col min="11" max="11" width="62.33203125" style="1" customWidth="1"/>
    <col min="12" max="12" width="20.83203125" style="2" customWidth="1"/>
    <col min="13" max="51" width="10.83203125" style="1"/>
    <col min="52" max="52" width="19.1640625" style="1" bestFit="1" customWidth="1"/>
    <col min="53" max="53" width="14" style="21" bestFit="1" customWidth="1"/>
    <col min="54" max="16384" width="10.83203125" style="1"/>
  </cols>
  <sheetData>
    <row r="1" spans="1:55" ht="16" thickBot="1" x14ac:dyDescent="0.25">
      <c r="A1" s="3" t="s">
        <v>85</v>
      </c>
      <c r="B1" s="3" t="s">
        <v>84</v>
      </c>
      <c r="C1" s="3" t="s">
        <v>83</v>
      </c>
      <c r="D1" s="3" t="s">
        <v>82</v>
      </c>
      <c r="E1" s="3" t="s">
        <v>81</v>
      </c>
      <c r="F1" s="3" t="s">
        <v>80</v>
      </c>
      <c r="G1" s="3" t="s">
        <v>79</v>
      </c>
      <c r="H1" s="3" t="s">
        <v>78</v>
      </c>
      <c r="I1" s="3" t="s">
        <v>77</v>
      </c>
      <c r="J1" s="3" t="s">
        <v>76</v>
      </c>
      <c r="K1" s="3" t="s">
        <v>75</v>
      </c>
      <c r="L1" s="4" t="s">
        <v>74</v>
      </c>
      <c r="M1" s="3" t="s">
        <v>258</v>
      </c>
      <c r="N1" s="13">
        <v>1990</v>
      </c>
      <c r="O1" s="13">
        <v>1991</v>
      </c>
      <c r="P1" s="13">
        <v>1992</v>
      </c>
      <c r="Q1" s="13">
        <v>1993</v>
      </c>
      <c r="R1" s="13">
        <v>1994</v>
      </c>
      <c r="S1" s="13">
        <v>1995</v>
      </c>
      <c r="T1" s="13">
        <v>1996</v>
      </c>
      <c r="U1" s="13">
        <v>1997</v>
      </c>
      <c r="V1" s="13">
        <v>1998</v>
      </c>
      <c r="W1" s="13">
        <v>1999</v>
      </c>
      <c r="X1" s="13">
        <v>2000</v>
      </c>
      <c r="Y1" s="13">
        <v>2001</v>
      </c>
      <c r="Z1" s="13">
        <v>2002</v>
      </c>
      <c r="AA1" s="13">
        <v>2003</v>
      </c>
      <c r="AB1" s="13">
        <v>2004</v>
      </c>
      <c r="AC1" s="13">
        <v>2005</v>
      </c>
      <c r="AD1" s="13">
        <v>2006</v>
      </c>
      <c r="AE1" s="13">
        <v>2007</v>
      </c>
      <c r="AF1" s="13">
        <v>2008</v>
      </c>
      <c r="AG1" s="13">
        <v>2009</v>
      </c>
      <c r="AH1" s="13">
        <v>2010</v>
      </c>
      <c r="AI1" s="13">
        <v>2011</v>
      </c>
      <c r="AJ1" s="13">
        <v>2012</v>
      </c>
      <c r="AK1" s="13">
        <v>2013</v>
      </c>
      <c r="AL1" s="13">
        <v>2014</v>
      </c>
      <c r="AM1" s="13">
        <v>2015</v>
      </c>
      <c r="AN1" s="13">
        <v>2016</v>
      </c>
      <c r="AO1" s="13">
        <v>2017</v>
      </c>
      <c r="AP1" s="13">
        <v>2018</v>
      </c>
      <c r="AQ1" s="13">
        <v>2019</v>
      </c>
      <c r="AR1" s="13">
        <v>2020</v>
      </c>
      <c r="AS1" s="13">
        <v>2021</v>
      </c>
      <c r="AT1" s="13">
        <v>2022</v>
      </c>
      <c r="AU1" s="13">
        <v>2023</v>
      </c>
      <c r="AV1" s="13">
        <v>2024</v>
      </c>
      <c r="AW1" s="13">
        <v>2025</v>
      </c>
      <c r="AZ1" s="1" t="s">
        <v>311</v>
      </c>
      <c r="BA1" s="1" t="s">
        <v>312</v>
      </c>
    </row>
    <row r="2" spans="1:55" s="18" customFormat="1" ht="16" x14ac:dyDescent="0.2">
      <c r="A2" s="14" t="s">
        <v>171</v>
      </c>
      <c r="B2" s="14" t="s">
        <v>17</v>
      </c>
      <c r="C2" s="14" t="s">
        <v>180</v>
      </c>
      <c r="D2" s="14" t="s">
        <v>187</v>
      </c>
      <c r="E2" s="14">
        <v>1</v>
      </c>
      <c r="F2" s="14" t="s">
        <v>15</v>
      </c>
      <c r="G2" s="14" t="s">
        <v>17</v>
      </c>
      <c r="H2" s="14" t="s">
        <v>171</v>
      </c>
      <c r="I2" s="15" t="s">
        <v>291</v>
      </c>
      <c r="J2" s="15" t="s">
        <v>179</v>
      </c>
      <c r="K2" s="15" t="s">
        <v>177</v>
      </c>
      <c r="L2" s="16">
        <v>35</v>
      </c>
      <c r="M2" s="14"/>
      <c r="N2" s="17">
        <v>0.10734434102252799</v>
      </c>
      <c r="O2" s="17">
        <v>0.10045066774585187</v>
      </c>
      <c r="P2" s="17">
        <v>0.12211649804397678</v>
      </c>
      <c r="Q2" s="17">
        <v>0.10438990961823821</v>
      </c>
      <c r="R2" s="17">
        <v>0.12211649804397678</v>
      </c>
      <c r="S2" s="17">
        <v>0.11226839336301092</v>
      </c>
      <c r="T2" s="17">
        <v>0.10498079589909617</v>
      </c>
      <c r="U2" s="17">
        <v>0.11482890058006205</v>
      </c>
      <c r="V2" s="17">
        <v>0.12211649804397678</v>
      </c>
      <c r="W2" s="17">
        <v>0.12132864966949952</v>
      </c>
      <c r="X2" s="17">
        <v>9.454180493727235E-2</v>
      </c>
      <c r="Y2" s="17">
        <v>0.10754130311614732</v>
      </c>
      <c r="Z2" s="17">
        <v>0.10537472008633481</v>
      </c>
      <c r="AA2" s="17">
        <v>8.8632942128692827E-2</v>
      </c>
      <c r="AB2" s="17">
        <v>0.10498079589909617</v>
      </c>
      <c r="AC2" s="17">
        <v>0.10340509915014165</v>
      </c>
      <c r="AD2" s="17">
        <v>6.7951922298664508E-2</v>
      </c>
      <c r="AE2" s="17">
        <v>7.4451671388101978E-2</v>
      </c>
      <c r="AF2" s="17">
        <v>9.1390411439363273E-2</v>
      </c>
      <c r="AG2" s="17">
        <v>9.1390411439363273E-2</v>
      </c>
      <c r="AH2" s="17">
        <v>0.10537472008633481</v>
      </c>
      <c r="AI2" s="17">
        <v>8.2330155132874672E-2</v>
      </c>
      <c r="AJ2" s="17">
        <v>7.8193951166869002E-2</v>
      </c>
      <c r="AK2" s="17">
        <v>8.134534466477808E-2</v>
      </c>
      <c r="AL2" s="17">
        <v>9.0996487252124642E-2</v>
      </c>
      <c r="AM2" s="17">
        <v>8.1739268852016725E-2</v>
      </c>
      <c r="AN2" s="17">
        <v>8.4299776069067842E-2</v>
      </c>
      <c r="AO2" s="17">
        <v>7.7800026979630371E-2</v>
      </c>
      <c r="AP2" s="17">
        <v>8.587547281802238E-2</v>
      </c>
      <c r="AQ2" s="17">
        <v>5.201374968298933E-2</v>
      </c>
      <c r="AR2" s="17">
        <v>9.3163070281937141E-2</v>
      </c>
      <c r="AS2" s="17">
        <v>8.134534466477808E-2</v>
      </c>
      <c r="AT2" s="18">
        <v>0</v>
      </c>
      <c r="AU2" s="18">
        <v>0</v>
      </c>
      <c r="AV2" s="18">
        <v>0</v>
      </c>
      <c r="AW2" s="18">
        <v>0</v>
      </c>
      <c r="AZ2" s="18">
        <v>28</v>
      </c>
      <c r="BA2" s="22">
        <f>+AZ2*AS2</f>
        <v>2.2776696506137863</v>
      </c>
      <c r="BC2" s="22">
        <f>+BA2+BA3</f>
        <v>2.3849737194123986</v>
      </c>
    </row>
    <row r="3" spans="1:55" s="18" customFormat="1" ht="16" x14ac:dyDescent="0.2">
      <c r="A3" s="14" t="s">
        <v>171</v>
      </c>
      <c r="B3" s="14" t="s">
        <v>17</v>
      </c>
      <c r="C3" s="14" t="s">
        <v>182</v>
      </c>
      <c r="D3" s="14" t="s">
        <v>181</v>
      </c>
      <c r="E3" s="14">
        <v>1</v>
      </c>
      <c r="F3" s="14" t="s">
        <v>15</v>
      </c>
      <c r="G3" s="14" t="s">
        <v>17</v>
      </c>
      <c r="H3" s="14" t="s">
        <v>171</v>
      </c>
      <c r="I3" s="15" t="s">
        <v>291</v>
      </c>
      <c r="J3" s="15" t="s">
        <v>179</v>
      </c>
      <c r="K3" s="15" t="s">
        <v>178</v>
      </c>
      <c r="L3" s="16">
        <v>36</v>
      </c>
      <c r="M3" s="14"/>
      <c r="N3" s="18">
        <v>1.5555504940435892E-3</v>
      </c>
      <c r="O3" s="18">
        <v>2.081525847694637E-3</v>
      </c>
      <c r="P3" s="18">
        <v>2.4065658000557129E-3</v>
      </c>
      <c r="Q3" s="18">
        <v>2.3886053958739211E-3</v>
      </c>
      <c r="R3" s="18">
        <v>2.50202905695347E-3</v>
      </c>
      <c r="S3" s="18">
        <v>2.7481730620125973E-3</v>
      </c>
      <c r="T3" s="18">
        <v>2.8149624529336379E-3</v>
      </c>
      <c r="U3" s="18">
        <v>3.1165778677952993E-3</v>
      </c>
      <c r="V3" s="18">
        <v>3.4623953628162749E-3</v>
      </c>
      <c r="W3" s="18">
        <v>4.0735057986317439E-3</v>
      </c>
      <c r="X3" s="18">
        <v>4.0394385378144902E-3</v>
      </c>
      <c r="Y3" s="18">
        <v>3.89586685899815E-3</v>
      </c>
      <c r="Z3" s="18">
        <v>3.8190801007058316E-3</v>
      </c>
      <c r="AA3" s="18">
        <v>3.4697259176844236E-3</v>
      </c>
      <c r="AB3" s="18">
        <v>2.9713342944127793E-3</v>
      </c>
      <c r="AC3" s="18">
        <v>2.8678730320655771E-3</v>
      </c>
      <c r="AD3" s="18">
        <v>3.1997223735480977E-3</v>
      </c>
      <c r="AE3" s="18">
        <v>3.5584723788735727E-3</v>
      </c>
      <c r="AF3" s="18">
        <v>3.349547679921554E-3</v>
      </c>
      <c r="AG3" s="18">
        <v>3.7496202189204442E-3</v>
      </c>
      <c r="AH3" s="18">
        <v>3.175612177820706E-3</v>
      </c>
      <c r="AI3" s="18">
        <v>3.2123133681833537E-3</v>
      </c>
      <c r="AJ3" s="18">
        <v>3.9174260685540347E-3</v>
      </c>
      <c r="AK3" s="18">
        <v>3.7820245289777936E-3</v>
      </c>
      <c r="AL3" s="18">
        <v>3.356212893633314E-3</v>
      </c>
      <c r="AM3" s="18">
        <v>3.2637453539932047E-3</v>
      </c>
      <c r="AN3" s="18">
        <v>3.2981597969310816E-3</v>
      </c>
      <c r="AO3" s="18">
        <v>3.894745231001316E-3</v>
      </c>
      <c r="AP3" s="18">
        <v>4.1909433867282908E-3</v>
      </c>
      <c r="AQ3" s="18">
        <v>3.4216034017589287E-3</v>
      </c>
      <c r="AR3" s="18">
        <v>4.2626591762914825E-3</v>
      </c>
      <c r="AS3" s="18">
        <v>3.83228817137901E-3</v>
      </c>
      <c r="AT3" s="18">
        <v>0</v>
      </c>
      <c r="AU3" s="18">
        <v>0</v>
      </c>
      <c r="AV3" s="18">
        <v>0</v>
      </c>
      <c r="AW3" s="18">
        <v>0</v>
      </c>
      <c r="AZ3" s="18">
        <v>28</v>
      </c>
      <c r="BA3" s="22">
        <f t="shared" ref="BA3:BA66" si="0">+AZ3*AS3</f>
        <v>0.10730406879861228</v>
      </c>
    </row>
    <row r="4" spans="1:55" s="18" customFormat="1" ht="16" x14ac:dyDescent="0.2">
      <c r="A4" s="14" t="s">
        <v>171</v>
      </c>
      <c r="B4" s="14" t="s">
        <v>3</v>
      </c>
      <c r="C4" s="14" t="s">
        <v>198</v>
      </c>
      <c r="D4" s="14" t="s">
        <v>197</v>
      </c>
      <c r="E4" s="14">
        <v>1</v>
      </c>
      <c r="F4" s="14" t="s">
        <v>15</v>
      </c>
      <c r="G4" s="14" t="s">
        <v>3</v>
      </c>
      <c r="H4" s="14" t="s">
        <v>171</v>
      </c>
      <c r="I4" s="15" t="s">
        <v>291</v>
      </c>
      <c r="J4" s="15" t="s">
        <v>194</v>
      </c>
      <c r="K4" s="15" t="s">
        <v>178</v>
      </c>
      <c r="L4" s="16">
        <v>40</v>
      </c>
      <c r="M4" s="14"/>
      <c r="N4" s="18">
        <v>2.6948953896259233E-5</v>
      </c>
      <c r="O4" s="18">
        <v>3.3969729510442783E-5</v>
      </c>
      <c r="P4" s="18">
        <v>3.9473319562332738E-5</v>
      </c>
      <c r="Q4" s="18">
        <v>3.8585333744374805E-5</v>
      </c>
      <c r="R4" s="18">
        <v>4.055465279626258E-5</v>
      </c>
      <c r="S4" s="18">
        <v>4.4248749766552569E-5</v>
      </c>
      <c r="T4" s="18">
        <v>4.5717207756691329E-5</v>
      </c>
      <c r="U4" s="18">
        <v>5.0332637641680618E-5</v>
      </c>
      <c r="V4" s="18">
        <v>5.5526040342060045E-5</v>
      </c>
      <c r="W4" s="18">
        <v>6.5285568731140371E-5</v>
      </c>
      <c r="X4" s="18">
        <v>6.5022538461077174E-5</v>
      </c>
      <c r="Y4" s="18">
        <v>6.2754593411471196E-5</v>
      </c>
      <c r="Z4" s="18">
        <v>6.1650641643492551E-5</v>
      </c>
      <c r="AA4" s="18">
        <v>5.72033923036738E-5</v>
      </c>
      <c r="AB4" s="18">
        <v>4.7305532396030143E-5</v>
      </c>
      <c r="AC4" s="18">
        <v>4.6428664339112669E-5</v>
      </c>
      <c r="AD4" s="18">
        <v>5.1171939173656862E-5</v>
      </c>
      <c r="AE4" s="18">
        <v>5.7670451798645352E-5</v>
      </c>
      <c r="AF4" s="18">
        <v>5.5824837438194954E-5</v>
      </c>
      <c r="AG4" s="18">
        <v>6.083182631028635E-5</v>
      </c>
      <c r="AH4" s="18">
        <v>5.1586671977444233E-5</v>
      </c>
      <c r="AI4" s="18">
        <v>5.2968984399139032E-5</v>
      </c>
      <c r="AJ4" s="18">
        <v>6.3953102260526113E-5</v>
      </c>
      <c r="AK4" s="18">
        <v>6.2168486647415635E-5</v>
      </c>
      <c r="AL4" s="18">
        <v>5.5274658678367335E-5</v>
      </c>
      <c r="AM4" s="18">
        <v>5.2826424594956483E-5</v>
      </c>
      <c r="AN4" s="18">
        <v>5.3079634119922564E-5</v>
      </c>
      <c r="AO4" s="18">
        <v>6.240102198592022E-5</v>
      </c>
      <c r="AP4" s="18">
        <v>6.7080836747604447E-5</v>
      </c>
      <c r="AQ4" s="18">
        <v>5.3867512594848848E-5</v>
      </c>
      <c r="AR4" s="18">
        <v>6.8083520136432587E-5</v>
      </c>
      <c r="AS4" s="18">
        <v>6.1282359724698394E-5</v>
      </c>
      <c r="AT4" s="18">
        <v>0</v>
      </c>
      <c r="AU4" s="18">
        <v>0</v>
      </c>
      <c r="AV4" s="18">
        <v>0</v>
      </c>
      <c r="AW4" s="18">
        <v>0</v>
      </c>
      <c r="AZ4" s="18">
        <v>265</v>
      </c>
      <c r="BA4" s="22">
        <f t="shared" si="0"/>
        <v>1.6239825327045074E-2</v>
      </c>
      <c r="BC4" s="22">
        <f>+BA4+BA10</f>
        <v>0.53927483773425855</v>
      </c>
    </row>
    <row r="5" spans="1:55" x14ac:dyDescent="0.2">
      <c r="A5" s="3" t="s">
        <v>171</v>
      </c>
      <c r="B5" s="3" t="s">
        <v>9</v>
      </c>
      <c r="C5" s="3" t="s">
        <v>210</v>
      </c>
      <c r="D5" s="3" t="s">
        <v>211</v>
      </c>
      <c r="E5" s="3">
        <v>0</v>
      </c>
      <c r="F5" s="3" t="s">
        <v>0</v>
      </c>
      <c r="G5" s="3" t="s">
        <v>0</v>
      </c>
      <c r="H5" s="3" t="s">
        <v>0</v>
      </c>
      <c r="I5" s="3" t="s">
        <v>0</v>
      </c>
      <c r="J5" s="3" t="s">
        <v>0</v>
      </c>
      <c r="K5" s="3" t="s">
        <v>0</v>
      </c>
      <c r="L5" s="4">
        <v>-1</v>
      </c>
      <c r="M5" s="3"/>
      <c r="BA5" s="22">
        <f t="shared" si="0"/>
        <v>0</v>
      </c>
    </row>
    <row r="6" spans="1:55" x14ac:dyDescent="0.2">
      <c r="A6" s="3" t="s">
        <v>171</v>
      </c>
      <c r="B6" s="3" t="s">
        <v>9</v>
      </c>
      <c r="C6" s="3" t="s">
        <v>212</v>
      </c>
      <c r="D6" s="3" t="s">
        <v>211</v>
      </c>
      <c r="E6" s="3">
        <v>0</v>
      </c>
      <c r="F6" s="3" t="s">
        <v>0</v>
      </c>
      <c r="G6" s="3" t="s">
        <v>0</v>
      </c>
      <c r="H6" s="3" t="s">
        <v>0</v>
      </c>
      <c r="I6" s="3" t="s">
        <v>0</v>
      </c>
      <c r="J6" s="3" t="s">
        <v>0</v>
      </c>
      <c r="K6" s="3" t="s">
        <v>0</v>
      </c>
      <c r="L6" s="4">
        <v>-1</v>
      </c>
      <c r="M6" s="3"/>
      <c r="BA6" s="22">
        <f t="shared" si="0"/>
        <v>0</v>
      </c>
    </row>
    <row r="7" spans="1:55" x14ac:dyDescent="0.2">
      <c r="A7" s="3" t="s">
        <v>171</v>
      </c>
      <c r="B7" s="3" t="s">
        <v>9</v>
      </c>
      <c r="C7" s="3" t="s">
        <v>213</v>
      </c>
      <c r="D7" s="3" t="s">
        <v>211</v>
      </c>
      <c r="E7" s="3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4">
        <v>-1</v>
      </c>
      <c r="M7" s="3"/>
      <c r="BA7" s="22">
        <f t="shared" si="0"/>
        <v>0</v>
      </c>
    </row>
    <row r="8" spans="1:55" x14ac:dyDescent="0.2">
      <c r="A8" s="3" t="s">
        <v>171</v>
      </c>
      <c r="B8" s="3" t="s">
        <v>9</v>
      </c>
      <c r="C8" s="3" t="s">
        <v>214</v>
      </c>
      <c r="D8" s="3" t="s">
        <v>211</v>
      </c>
      <c r="E8" s="3">
        <v>0</v>
      </c>
      <c r="F8" s="3" t="s">
        <v>0</v>
      </c>
      <c r="G8" s="3" t="s">
        <v>0</v>
      </c>
      <c r="H8" s="3" t="s">
        <v>0</v>
      </c>
      <c r="I8" s="3" t="s">
        <v>0</v>
      </c>
      <c r="J8" s="3" t="s">
        <v>0</v>
      </c>
      <c r="K8" s="3" t="s">
        <v>0</v>
      </c>
      <c r="L8" s="4">
        <v>-1</v>
      </c>
      <c r="M8" s="3"/>
      <c r="BA8" s="22">
        <f t="shared" si="0"/>
        <v>0</v>
      </c>
    </row>
    <row r="9" spans="1:55" x14ac:dyDescent="0.2">
      <c r="A9" s="3" t="s">
        <v>171</v>
      </c>
      <c r="B9" s="3" t="s">
        <v>9</v>
      </c>
      <c r="C9" s="3" t="s">
        <v>215</v>
      </c>
      <c r="D9" s="3" t="s">
        <v>216</v>
      </c>
      <c r="E9" s="3">
        <v>0</v>
      </c>
      <c r="F9" s="3" t="s">
        <v>0</v>
      </c>
      <c r="G9" s="3" t="s">
        <v>0</v>
      </c>
      <c r="H9" s="3" t="s">
        <v>0</v>
      </c>
      <c r="I9" s="3" t="s">
        <v>0</v>
      </c>
      <c r="J9" s="3" t="s">
        <v>0</v>
      </c>
      <c r="K9" s="3" t="s">
        <v>0</v>
      </c>
      <c r="L9" s="4">
        <v>-1</v>
      </c>
      <c r="M9" s="3"/>
      <c r="AX9" s="1">
        <f>+AX10+AS4</f>
        <v>1.9737783103114741</v>
      </c>
      <c r="BA9" s="22">
        <f t="shared" si="0"/>
        <v>0</v>
      </c>
    </row>
    <row r="10" spans="1:55" s="18" customFormat="1" ht="16" x14ac:dyDescent="0.2">
      <c r="A10" s="14" t="s">
        <v>199</v>
      </c>
      <c r="B10" s="14" t="s">
        <v>3</v>
      </c>
      <c r="C10" s="14" t="s">
        <v>202</v>
      </c>
      <c r="D10" s="14" t="s">
        <v>203</v>
      </c>
      <c r="E10" s="14">
        <v>1</v>
      </c>
      <c r="F10" s="14" t="s">
        <v>18</v>
      </c>
      <c r="G10" s="14" t="s">
        <v>3</v>
      </c>
      <c r="H10" s="14" t="s">
        <v>171</v>
      </c>
      <c r="I10" s="14" t="s">
        <v>292</v>
      </c>
      <c r="J10" s="15" t="s">
        <v>205</v>
      </c>
      <c r="K10" s="20" t="s">
        <v>204</v>
      </c>
      <c r="L10" s="16">
        <v>46</v>
      </c>
      <c r="M10" s="14"/>
      <c r="N10" s="18">
        <v>2140.6365054305056</v>
      </c>
      <c r="O10" s="18">
        <v>1591.1560600292469</v>
      </c>
      <c r="P10" s="18">
        <v>1816.2252702741284</v>
      </c>
      <c r="Q10" s="18">
        <v>1643.0345120031159</v>
      </c>
      <c r="R10" s="18">
        <v>1612.6048510068201</v>
      </c>
      <c r="S10" s="18">
        <v>1381.0950835935116</v>
      </c>
      <c r="T10" s="18">
        <v>1896.2745692690578</v>
      </c>
      <c r="U10" s="18">
        <v>1750.2584396856093</v>
      </c>
      <c r="V10" s="18">
        <v>1235.6220700975477</v>
      </c>
      <c r="W10" s="18">
        <v>1530.1437520451852</v>
      </c>
      <c r="X10" s="18">
        <v>1262.2421985760677</v>
      </c>
      <c r="Y10" s="18">
        <v>1360.2882263161489</v>
      </c>
      <c r="Z10" s="18">
        <v>1452.6445537360039</v>
      </c>
      <c r="AA10" s="18">
        <v>1576.5254898747339</v>
      </c>
      <c r="AB10" s="18">
        <v>1552.3856727137209</v>
      </c>
      <c r="AC10" s="18">
        <v>1461.0639665898059</v>
      </c>
      <c r="AD10" s="18">
        <v>1324.4481824637248</v>
      </c>
      <c r="AE10" s="18">
        <v>1782.8545076217297</v>
      </c>
      <c r="AF10" s="18">
        <v>1714.4337882016546</v>
      </c>
      <c r="AG10" s="18">
        <v>1738.6496579795962</v>
      </c>
      <c r="AH10" s="18">
        <v>1860.3086563858003</v>
      </c>
      <c r="AI10" s="18">
        <v>1781.2686544352093</v>
      </c>
      <c r="AJ10" s="18">
        <v>2271.2344873987581</v>
      </c>
      <c r="AK10" s="18">
        <v>2553.9786870605562</v>
      </c>
      <c r="AL10" s="18">
        <v>2984.4071520449493</v>
      </c>
      <c r="AM10" s="18">
        <v>2160.1015783915027</v>
      </c>
      <c r="AN10" s="18">
        <v>2058.177220025872</v>
      </c>
      <c r="AO10" s="18">
        <v>2324.7284738037779</v>
      </c>
      <c r="AP10" s="18">
        <v>2249.9325220857513</v>
      </c>
      <c r="AQ10" s="18">
        <v>1480.9014194470315</v>
      </c>
      <c r="AR10" s="18">
        <v>1943.4977527647641</v>
      </c>
      <c r="AS10" s="18">
        <v>1973.7170279517493</v>
      </c>
      <c r="AT10" s="18">
        <v>0</v>
      </c>
      <c r="AU10" s="18">
        <v>0</v>
      </c>
      <c r="AV10" s="18">
        <v>0</v>
      </c>
      <c r="AW10" s="18">
        <v>0</v>
      </c>
      <c r="AX10" s="18">
        <f>+AS10/1000</f>
        <v>1.9737170279517493</v>
      </c>
      <c r="AZ10" s="18">
        <f>265/1000000</f>
        <v>2.6499999999999999E-4</v>
      </c>
      <c r="BA10" s="22">
        <f t="shared" si="0"/>
        <v>0.52303501240721351</v>
      </c>
    </row>
    <row r="11" spans="1:55" x14ac:dyDescent="0.2">
      <c r="A11" s="3" t="s">
        <v>130</v>
      </c>
      <c r="B11" s="3" t="s">
        <v>17</v>
      </c>
      <c r="C11" s="3" t="s">
        <v>134</v>
      </c>
      <c r="D11" s="3" t="s">
        <v>133</v>
      </c>
      <c r="E11" s="3">
        <v>0</v>
      </c>
      <c r="F11" s="3" t="s">
        <v>0</v>
      </c>
      <c r="G11" s="3" t="s">
        <v>0</v>
      </c>
      <c r="H11" s="3" t="s">
        <v>0</v>
      </c>
      <c r="I11" s="3" t="s">
        <v>0</v>
      </c>
      <c r="J11" s="3" t="s">
        <v>0</v>
      </c>
      <c r="K11" s="3" t="s">
        <v>0</v>
      </c>
      <c r="L11" s="4">
        <v>-1</v>
      </c>
      <c r="M11" s="3"/>
      <c r="BA11" s="22">
        <f t="shared" si="0"/>
        <v>0</v>
      </c>
    </row>
    <row r="12" spans="1:55" x14ac:dyDescent="0.2">
      <c r="A12" s="3" t="s">
        <v>130</v>
      </c>
      <c r="B12" s="3" t="s">
        <v>9</v>
      </c>
      <c r="C12" s="3" t="s">
        <v>132</v>
      </c>
      <c r="D12" s="3" t="s">
        <v>131</v>
      </c>
      <c r="E12" s="3">
        <v>0</v>
      </c>
      <c r="F12" s="3" t="s">
        <v>0</v>
      </c>
      <c r="G12" s="3" t="s">
        <v>0</v>
      </c>
      <c r="H12" s="3" t="s">
        <v>0</v>
      </c>
      <c r="I12" s="3" t="s">
        <v>0</v>
      </c>
      <c r="J12" s="3" t="s">
        <v>0</v>
      </c>
      <c r="K12" s="3" t="s">
        <v>0</v>
      </c>
      <c r="L12" s="4">
        <v>-1</v>
      </c>
      <c r="M12" s="3"/>
      <c r="BA12" s="22">
        <f t="shared" si="0"/>
        <v>0</v>
      </c>
    </row>
    <row r="13" spans="1:55" x14ac:dyDescent="0.2">
      <c r="A13" s="3" t="s">
        <v>130</v>
      </c>
      <c r="B13" s="3" t="s">
        <v>3</v>
      </c>
      <c r="C13" s="3" t="s">
        <v>129</v>
      </c>
      <c r="D13" s="3" t="s">
        <v>128</v>
      </c>
      <c r="E13" s="3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4">
        <v>-1</v>
      </c>
      <c r="M13" s="3"/>
      <c r="BA13" s="22">
        <f t="shared" si="0"/>
        <v>0</v>
      </c>
    </row>
    <row r="14" spans="1:55" ht="16" x14ac:dyDescent="0.2">
      <c r="A14" s="3" t="s">
        <v>16</v>
      </c>
      <c r="B14" s="3" t="s">
        <v>9</v>
      </c>
      <c r="C14" s="3" t="s">
        <v>27</v>
      </c>
      <c r="D14" s="3" t="s">
        <v>26</v>
      </c>
      <c r="E14" s="3">
        <v>1</v>
      </c>
      <c r="F14" s="3" t="s">
        <v>15</v>
      </c>
      <c r="G14" s="3" t="s">
        <v>14</v>
      </c>
      <c r="H14" s="3" t="s">
        <v>25</v>
      </c>
      <c r="I14" s="6" t="s">
        <v>293</v>
      </c>
      <c r="J14" s="3" t="s">
        <v>24</v>
      </c>
      <c r="K14" s="7" t="s">
        <v>23</v>
      </c>
      <c r="L14" s="4">
        <v>28</v>
      </c>
      <c r="M14" s="3"/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Z14" s="1">
        <v>1</v>
      </c>
      <c r="BA14" s="22">
        <f t="shared" si="0"/>
        <v>0</v>
      </c>
      <c r="BC14" s="21">
        <f>+BA14+BA15+BA16+BA17+BA18+BA19+BA20+BA21+BA22</f>
        <v>35.36552305425289</v>
      </c>
    </row>
    <row r="15" spans="1:55" x14ac:dyDescent="0.2">
      <c r="A15" s="3" t="s">
        <v>16</v>
      </c>
      <c r="B15" s="3" t="s">
        <v>9</v>
      </c>
      <c r="C15" s="3" t="s">
        <v>32</v>
      </c>
      <c r="D15" s="3" t="s">
        <v>26</v>
      </c>
      <c r="E15" s="3">
        <v>1</v>
      </c>
      <c r="F15" s="3" t="s">
        <v>15</v>
      </c>
      <c r="G15" s="3" t="s">
        <v>14</v>
      </c>
      <c r="H15" s="3" t="s">
        <v>25</v>
      </c>
      <c r="I15" s="6" t="s">
        <v>31</v>
      </c>
      <c r="J15" s="3" t="s">
        <v>24</v>
      </c>
      <c r="K15" s="7" t="s">
        <v>21</v>
      </c>
      <c r="L15" s="4">
        <v>25</v>
      </c>
      <c r="M15" s="3"/>
      <c r="N15" s="1">
        <v>18.349750095007938</v>
      </c>
      <c r="O15" s="1">
        <v>19.423418914110034</v>
      </c>
      <c r="P15" s="1">
        <v>20.242194887567525</v>
      </c>
      <c r="Q15" s="1">
        <v>20.180057233865579</v>
      </c>
      <c r="R15" s="1">
        <v>20.825335874226351</v>
      </c>
      <c r="S15" s="1">
        <v>19.869510118827506</v>
      </c>
      <c r="T15" s="1">
        <v>19.325534965097241</v>
      </c>
      <c r="U15" s="1">
        <v>21.322769844271459</v>
      </c>
      <c r="V15" s="1">
        <v>21.326636595896581</v>
      </c>
      <c r="W15" s="1">
        <v>21.590695616328606</v>
      </c>
      <c r="X15" s="1">
        <v>23.999886596897326</v>
      </c>
      <c r="Y15" s="1">
        <v>22.681791839997775</v>
      </c>
      <c r="Z15" s="1">
        <v>22.041419349714371</v>
      </c>
      <c r="AA15" s="1">
        <v>23.414074422427781</v>
      </c>
      <c r="AB15" s="1">
        <v>24.360017416022089</v>
      </c>
      <c r="AC15" s="1">
        <v>24.090799042064603</v>
      </c>
      <c r="AD15" s="1">
        <v>25.144978708613742</v>
      </c>
      <c r="AE15" s="1">
        <v>23.683745529102204</v>
      </c>
      <c r="AF15" s="1">
        <v>24.895938211017349</v>
      </c>
      <c r="AG15" s="1">
        <v>24.081923081993676</v>
      </c>
      <c r="AH15" s="1">
        <v>24.760099646847546</v>
      </c>
      <c r="AI15" s="1">
        <v>25.664694136663719</v>
      </c>
      <c r="AJ15" s="1">
        <v>22.603499524061778</v>
      </c>
      <c r="AK15" s="1">
        <v>21.566142048547285</v>
      </c>
      <c r="AL15" s="1">
        <v>19.772603674357008</v>
      </c>
      <c r="AM15" s="1">
        <v>16.299560255375788</v>
      </c>
      <c r="AN15" s="1">
        <v>13.040307550258801</v>
      </c>
      <c r="AO15" s="1">
        <v>13.24860716830268</v>
      </c>
      <c r="AP15" s="1">
        <v>12.805765583301392</v>
      </c>
      <c r="AQ15" s="1">
        <v>8.3669597391385153</v>
      </c>
      <c r="AR15" s="1">
        <v>4.3467994412515969</v>
      </c>
      <c r="AS15" s="1">
        <v>8.7671402672632972</v>
      </c>
      <c r="AT15" s="1">
        <v>0</v>
      </c>
      <c r="AU15" s="1">
        <v>0</v>
      </c>
      <c r="AV15" s="1">
        <v>0</v>
      </c>
      <c r="AW15" s="1">
        <v>0</v>
      </c>
      <c r="AZ15" s="1">
        <v>1</v>
      </c>
      <c r="BA15" s="22">
        <f t="shared" si="0"/>
        <v>8.7671402672632972</v>
      </c>
    </row>
    <row r="16" spans="1:55" ht="16" x14ac:dyDescent="0.2">
      <c r="A16" s="3" t="s">
        <v>16</v>
      </c>
      <c r="B16" s="3" t="s">
        <v>9</v>
      </c>
      <c r="C16" s="3" t="s">
        <v>30</v>
      </c>
      <c r="D16" s="3" t="s">
        <v>26</v>
      </c>
      <c r="E16" s="3">
        <v>1</v>
      </c>
      <c r="F16" s="3" t="s">
        <v>15</v>
      </c>
      <c r="G16" s="3" t="s">
        <v>14</v>
      </c>
      <c r="H16" s="3" t="s">
        <v>25</v>
      </c>
      <c r="I16" s="6" t="s">
        <v>293</v>
      </c>
      <c r="J16" s="3" t="s">
        <v>24</v>
      </c>
      <c r="K16" s="7" t="s">
        <v>12</v>
      </c>
      <c r="L16" s="4">
        <v>27</v>
      </c>
      <c r="M16" s="3"/>
      <c r="N16" s="1">
        <v>15.830165758184961</v>
      </c>
      <c r="O16" s="1">
        <v>14.965600927558883</v>
      </c>
      <c r="P16" s="1">
        <v>14.384786621225771</v>
      </c>
      <c r="Q16" s="1">
        <v>13.524714010228641</v>
      </c>
      <c r="R16" s="1">
        <v>15.45868450304636</v>
      </c>
      <c r="S16" s="1">
        <v>17.953371573578469</v>
      </c>
      <c r="T16" s="1">
        <v>14.042521363586875</v>
      </c>
      <c r="U16" s="1">
        <v>15.326015264143642</v>
      </c>
      <c r="V16" s="1">
        <v>17.675176407533161</v>
      </c>
      <c r="W16" s="1">
        <v>17.752552805082988</v>
      </c>
      <c r="X16" s="1">
        <v>16.72925137902098</v>
      </c>
      <c r="Y16" s="1">
        <v>13.409598212352893</v>
      </c>
      <c r="Z16" s="1">
        <v>17.649283282451641</v>
      </c>
      <c r="AA16" s="1">
        <v>12.940872043127115</v>
      </c>
      <c r="AB16" s="1">
        <v>13.393321183590439</v>
      </c>
      <c r="AC16" s="1">
        <v>15.56075439849428</v>
      </c>
      <c r="AD16" s="1">
        <v>10.777308399565046</v>
      </c>
      <c r="AE16" s="1">
        <v>12.289939209097152</v>
      </c>
      <c r="AF16" s="1">
        <v>12.94323170975593</v>
      </c>
      <c r="AG16" s="1">
        <v>12.160235633900651</v>
      </c>
      <c r="AH16" s="1">
        <v>14.692903493093816</v>
      </c>
      <c r="AI16" s="1">
        <v>15.907856566777633</v>
      </c>
      <c r="AJ16" s="1">
        <v>17.433065630691882</v>
      </c>
      <c r="AK16" s="1">
        <v>14.49526546030622</v>
      </c>
      <c r="AL16" s="1">
        <v>14.460649152550964</v>
      </c>
      <c r="AM16" s="1">
        <v>18.64876440448468</v>
      </c>
      <c r="AN16" s="1">
        <v>18.028772200148723</v>
      </c>
      <c r="AO16" s="1">
        <v>15.193086875941217</v>
      </c>
      <c r="AP16" s="1">
        <v>16.35036607120264</v>
      </c>
      <c r="AQ16" s="1">
        <v>18.627116169128183</v>
      </c>
      <c r="AR16" s="1">
        <v>19.334264021039452</v>
      </c>
      <c r="AS16" s="1">
        <v>17.23347623435804</v>
      </c>
      <c r="AT16" s="1">
        <v>0</v>
      </c>
      <c r="AU16" s="1">
        <v>0</v>
      </c>
      <c r="AV16" s="1">
        <v>0</v>
      </c>
      <c r="AW16" s="1">
        <v>0</v>
      </c>
      <c r="AZ16" s="1">
        <v>1</v>
      </c>
      <c r="BA16" s="22">
        <f t="shared" si="0"/>
        <v>17.23347623435804</v>
      </c>
    </row>
    <row r="17" spans="1:55" ht="16" x14ac:dyDescent="0.2">
      <c r="A17" s="3" t="s">
        <v>16</v>
      </c>
      <c r="B17" s="3" t="s">
        <v>9</v>
      </c>
      <c r="C17" s="3" t="s">
        <v>29</v>
      </c>
      <c r="D17" s="3" t="s">
        <v>26</v>
      </c>
      <c r="E17" s="3">
        <v>1</v>
      </c>
      <c r="F17" s="3" t="s">
        <v>15</v>
      </c>
      <c r="G17" s="3" t="s">
        <v>14</v>
      </c>
      <c r="H17" s="3" t="s">
        <v>25</v>
      </c>
      <c r="I17" s="6" t="s">
        <v>293</v>
      </c>
      <c r="J17" s="3" t="s">
        <v>24</v>
      </c>
      <c r="K17" s="7" t="s">
        <v>28</v>
      </c>
      <c r="L17" s="4">
        <v>26</v>
      </c>
      <c r="M17" s="3"/>
      <c r="N17" s="1">
        <v>0.18089779216438406</v>
      </c>
      <c r="O17" s="1">
        <v>3.8795898868215627E-2</v>
      </c>
      <c r="P17" s="1">
        <v>1.1893910579921105</v>
      </c>
      <c r="Q17" s="1">
        <v>3.8014258046024434</v>
      </c>
      <c r="R17" s="1">
        <v>2.5269755061956092</v>
      </c>
      <c r="S17" s="1">
        <v>1.9023131197379968</v>
      </c>
      <c r="T17" s="1">
        <v>2.0478674528617939</v>
      </c>
      <c r="U17" s="1">
        <v>2.5135369730198853</v>
      </c>
      <c r="V17" s="1">
        <v>2.4929449762918696</v>
      </c>
      <c r="W17" s="1">
        <v>2.1102168352717343</v>
      </c>
      <c r="X17" s="1">
        <v>2.1873280917851976</v>
      </c>
      <c r="Y17" s="1">
        <v>3.4337184019931186</v>
      </c>
      <c r="Z17" s="1">
        <v>2.0356468888733668</v>
      </c>
      <c r="AA17" s="1">
        <v>2.9464161038729646</v>
      </c>
      <c r="AB17" s="1">
        <v>3.446016633477218</v>
      </c>
      <c r="AC17" s="1">
        <v>3.4304582785399926</v>
      </c>
      <c r="AD17" s="1">
        <v>2.1358556311720642</v>
      </c>
      <c r="AE17" s="1">
        <v>2.3633240336651671</v>
      </c>
      <c r="AF17" s="1">
        <v>2.2393507587183392</v>
      </c>
      <c r="AG17" s="1">
        <v>1.7153464165595369</v>
      </c>
      <c r="AH17" s="1">
        <v>3.2582994941035337</v>
      </c>
      <c r="AI17" s="1">
        <v>4.9029083896080072</v>
      </c>
      <c r="AJ17" s="1">
        <v>3.1670703841777135</v>
      </c>
      <c r="AK17" s="1">
        <v>4.9619162215128245</v>
      </c>
      <c r="AL17" s="1">
        <v>5.240864418258429</v>
      </c>
      <c r="AM17" s="1">
        <v>4.407067390713884</v>
      </c>
      <c r="AN17" s="1">
        <v>5.1857247190755205</v>
      </c>
      <c r="AO17" s="1">
        <v>5.0263259110083514</v>
      </c>
      <c r="AP17" s="1">
        <v>4.7630532635822789</v>
      </c>
      <c r="AQ17" s="1">
        <v>3.6731525038724953</v>
      </c>
      <c r="AR17" s="1">
        <v>3.866590859941454</v>
      </c>
      <c r="AS17" s="1">
        <v>4.4027863074030096</v>
      </c>
      <c r="AT17" s="1">
        <v>0</v>
      </c>
      <c r="AU17" s="1">
        <v>0</v>
      </c>
      <c r="AV17" s="1">
        <v>0</v>
      </c>
      <c r="AW17" s="1">
        <v>0</v>
      </c>
      <c r="AZ17" s="1">
        <v>1</v>
      </c>
      <c r="BA17" s="22">
        <f t="shared" si="0"/>
        <v>4.4027863074030096</v>
      </c>
    </row>
    <row r="18" spans="1:55" ht="16" x14ac:dyDescent="0.2">
      <c r="A18" s="3" t="s">
        <v>16</v>
      </c>
      <c r="B18" s="3" t="s">
        <v>9</v>
      </c>
      <c r="C18" s="3" t="s">
        <v>111</v>
      </c>
      <c r="D18" s="3" t="s">
        <v>110</v>
      </c>
      <c r="E18" s="3">
        <v>1</v>
      </c>
      <c r="F18" s="3" t="s">
        <v>18</v>
      </c>
      <c r="G18" s="3" t="s">
        <v>14</v>
      </c>
      <c r="H18" s="3" t="s">
        <v>112</v>
      </c>
      <c r="I18" s="6" t="s">
        <v>294</v>
      </c>
      <c r="J18" s="3" t="s">
        <v>113</v>
      </c>
      <c r="K18" s="25" t="s">
        <v>314</v>
      </c>
      <c r="L18" s="26">
        <v>9</v>
      </c>
      <c r="M18" s="3"/>
      <c r="N18" s="27">
        <v>6118483.7198030716</v>
      </c>
      <c r="O18" s="27">
        <v>6199141.4376363922</v>
      </c>
      <c r="P18" s="27">
        <v>6479280.7115409728</v>
      </c>
      <c r="Q18" s="27">
        <v>5966936.8125381954</v>
      </c>
      <c r="R18" s="27">
        <v>6427645.8270982951</v>
      </c>
      <c r="S18" s="27">
        <v>6055010.6777901025</v>
      </c>
      <c r="T18" s="27">
        <v>6163277.147385221</v>
      </c>
      <c r="U18" s="27">
        <v>5875872.1077948222</v>
      </c>
      <c r="V18" s="27">
        <v>5995087.6102487082</v>
      </c>
      <c r="W18" s="27">
        <v>5481765.2643058067</v>
      </c>
      <c r="X18" s="27">
        <v>4764037.4624256305</v>
      </c>
      <c r="Y18" s="27">
        <v>3654103.2322491915</v>
      </c>
      <c r="Z18" s="27">
        <v>3996107.1776359575</v>
      </c>
      <c r="AA18" s="27">
        <v>3255297.306004724</v>
      </c>
      <c r="AB18" s="27">
        <v>3591722.7808803953</v>
      </c>
      <c r="AC18" s="27">
        <v>3244324.1293517756</v>
      </c>
      <c r="AD18" s="27">
        <v>3193927.9046526868</v>
      </c>
      <c r="AE18" s="27">
        <v>3434106.2556072003</v>
      </c>
      <c r="AF18" s="27">
        <v>3249900.8607029975</v>
      </c>
      <c r="AG18" s="27">
        <v>3180329.3540642853</v>
      </c>
      <c r="AH18" s="27">
        <v>3419343.3051305236</v>
      </c>
      <c r="AI18" s="27">
        <v>3988084.5043237251</v>
      </c>
      <c r="AJ18" s="27">
        <v>3087175.9378215498</v>
      </c>
      <c r="AK18" s="27">
        <v>3167049.8751929644</v>
      </c>
      <c r="AL18" s="27">
        <v>3200563.9388251933</v>
      </c>
      <c r="AM18" s="27">
        <v>3282395.7006955352</v>
      </c>
      <c r="AN18" s="27">
        <v>4348256.3044875963</v>
      </c>
      <c r="AO18" s="27">
        <v>4640168.9529838236</v>
      </c>
      <c r="AP18" s="27">
        <v>5014769.8941446589</v>
      </c>
      <c r="AQ18" s="27">
        <v>5165855.4108622549</v>
      </c>
      <c r="AR18" s="27">
        <v>5476635.4545481112</v>
      </c>
      <c r="AS18" s="27">
        <v>4962120.2452285457</v>
      </c>
      <c r="AT18" s="27">
        <v>0</v>
      </c>
      <c r="AU18" s="27">
        <v>0</v>
      </c>
      <c r="AV18" s="27">
        <v>0</v>
      </c>
      <c r="AW18" s="27">
        <v>0</v>
      </c>
      <c r="AZ18" s="1">
        <f>1/1000000</f>
        <v>9.9999999999999995E-7</v>
      </c>
      <c r="BA18" s="22">
        <f t="shared" si="0"/>
        <v>4.9621202452285456</v>
      </c>
    </row>
    <row r="19" spans="1:55" x14ac:dyDescent="0.2">
      <c r="A19" s="3" t="s">
        <v>16</v>
      </c>
      <c r="B19" s="3" t="s">
        <v>9</v>
      </c>
      <c r="C19" s="3" t="s">
        <v>96</v>
      </c>
      <c r="D19" s="3" t="s">
        <v>97</v>
      </c>
      <c r="E19" s="3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4">
        <v>-1</v>
      </c>
      <c r="M19" s="3"/>
      <c r="BA19" s="22">
        <f t="shared" si="0"/>
        <v>0</v>
      </c>
    </row>
    <row r="20" spans="1:55" x14ac:dyDescent="0.2">
      <c r="A20" s="3" t="s">
        <v>16</v>
      </c>
      <c r="B20" s="3" t="s">
        <v>9</v>
      </c>
      <c r="C20" s="3" t="s">
        <v>98</v>
      </c>
      <c r="D20" s="3" t="s">
        <v>97</v>
      </c>
      <c r="E20" s="3">
        <v>0</v>
      </c>
      <c r="F20" s="3" t="s">
        <v>0</v>
      </c>
      <c r="G20" s="3" t="s">
        <v>0</v>
      </c>
      <c r="H20" s="3" t="s">
        <v>0</v>
      </c>
      <c r="I20" s="3" t="s">
        <v>0</v>
      </c>
      <c r="J20" s="3" t="s">
        <v>0</v>
      </c>
      <c r="K20" s="3" t="s">
        <v>0</v>
      </c>
      <c r="L20" s="4">
        <v>-1</v>
      </c>
      <c r="M20" s="3"/>
      <c r="BA20" s="22">
        <f t="shared" si="0"/>
        <v>0</v>
      </c>
    </row>
    <row r="21" spans="1:55" x14ac:dyDescent="0.2">
      <c r="A21" s="3" t="s">
        <v>16</v>
      </c>
      <c r="B21" s="3" t="s">
        <v>9</v>
      </c>
      <c r="C21" s="3" t="s">
        <v>108</v>
      </c>
      <c r="D21" s="3" t="s">
        <v>110</v>
      </c>
      <c r="E21" s="3">
        <v>0</v>
      </c>
      <c r="F21" s="3" t="s">
        <v>0</v>
      </c>
      <c r="G21" s="3" t="s">
        <v>0</v>
      </c>
      <c r="H21" s="3" t="s">
        <v>0</v>
      </c>
      <c r="I21" s="3" t="s">
        <v>0</v>
      </c>
      <c r="J21" s="3" t="s">
        <v>0</v>
      </c>
      <c r="K21" s="3" t="s">
        <v>0</v>
      </c>
      <c r="L21" s="4">
        <v>-1</v>
      </c>
      <c r="M21" s="3"/>
      <c r="BA21" s="22">
        <f t="shared" si="0"/>
        <v>0</v>
      </c>
    </row>
    <row r="22" spans="1:55" x14ac:dyDescent="0.2">
      <c r="A22" s="3" t="s">
        <v>16</v>
      </c>
      <c r="B22" s="3" t="s">
        <v>9</v>
      </c>
      <c r="C22" s="3" t="s">
        <v>109</v>
      </c>
      <c r="D22" s="3" t="s">
        <v>110</v>
      </c>
      <c r="E22" s="3">
        <v>0</v>
      </c>
      <c r="F22" s="3" t="s">
        <v>0</v>
      </c>
      <c r="G22" s="3" t="s">
        <v>0</v>
      </c>
      <c r="H22" s="3" t="s">
        <v>0</v>
      </c>
      <c r="I22" s="3" t="s">
        <v>0</v>
      </c>
      <c r="J22" s="3" t="s">
        <v>0</v>
      </c>
      <c r="K22" s="3" t="s">
        <v>0</v>
      </c>
      <c r="L22" s="4">
        <v>-1</v>
      </c>
      <c r="M22" s="3"/>
      <c r="BA22" s="22">
        <f t="shared" si="0"/>
        <v>0</v>
      </c>
    </row>
    <row r="23" spans="1:55" x14ac:dyDescent="0.2">
      <c r="A23" s="3" t="s">
        <v>16</v>
      </c>
      <c r="B23" s="3" t="s">
        <v>3</v>
      </c>
      <c r="C23" s="3" t="s">
        <v>92</v>
      </c>
      <c r="D23" s="3" t="s">
        <v>93</v>
      </c>
      <c r="E23" s="3">
        <v>0</v>
      </c>
      <c r="F23" s="3" t="s">
        <v>0</v>
      </c>
      <c r="G23" s="3" t="s">
        <v>0</v>
      </c>
      <c r="H23" s="3" t="s">
        <v>0</v>
      </c>
      <c r="I23" s="3" t="s">
        <v>0</v>
      </c>
      <c r="J23" s="3" t="s">
        <v>0</v>
      </c>
      <c r="K23" s="3" t="s">
        <v>0</v>
      </c>
      <c r="L23" s="4">
        <v>-1</v>
      </c>
      <c r="M23" s="3"/>
      <c r="BA23" s="22">
        <f t="shared" si="0"/>
        <v>0</v>
      </c>
    </row>
    <row r="24" spans="1:55" x14ac:dyDescent="0.2">
      <c r="A24" s="3" t="s">
        <v>16</v>
      </c>
      <c r="B24" s="3" t="s">
        <v>3</v>
      </c>
      <c r="C24" s="3" t="s">
        <v>94</v>
      </c>
      <c r="D24" s="3" t="s">
        <v>93</v>
      </c>
      <c r="E24" s="3">
        <v>0</v>
      </c>
      <c r="F24" s="3" t="s">
        <v>0</v>
      </c>
      <c r="G24" s="3" t="s">
        <v>0</v>
      </c>
      <c r="H24" s="3" t="s">
        <v>0</v>
      </c>
      <c r="I24" s="3" t="s">
        <v>0</v>
      </c>
      <c r="J24" s="3" t="s">
        <v>0</v>
      </c>
      <c r="K24" s="3" t="s">
        <v>0</v>
      </c>
      <c r="L24" s="4">
        <v>-1</v>
      </c>
      <c r="M24" s="3"/>
      <c r="BA24" s="22">
        <f t="shared" si="0"/>
        <v>0</v>
      </c>
    </row>
    <row r="25" spans="1:55" x14ac:dyDescent="0.2">
      <c r="A25" s="3" t="s">
        <v>16</v>
      </c>
      <c r="B25" s="3" t="s">
        <v>3</v>
      </c>
      <c r="C25" s="3" t="s">
        <v>95</v>
      </c>
      <c r="D25" s="3" t="s">
        <v>93</v>
      </c>
      <c r="E25" s="3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4">
        <v>-1</v>
      </c>
      <c r="M25" s="3"/>
      <c r="BA25" s="22">
        <f t="shared" si="0"/>
        <v>0</v>
      </c>
    </row>
    <row r="26" spans="1:55" x14ac:dyDescent="0.2">
      <c r="A26" s="3" t="s">
        <v>16</v>
      </c>
      <c r="B26" s="3" t="s">
        <v>3</v>
      </c>
      <c r="C26" s="3" t="s">
        <v>105</v>
      </c>
      <c r="D26" s="3" t="s">
        <v>104</v>
      </c>
      <c r="E26" s="3">
        <v>0</v>
      </c>
      <c r="F26" s="3" t="s">
        <v>0</v>
      </c>
      <c r="G26" s="3" t="s">
        <v>0</v>
      </c>
      <c r="H26" s="3" t="s">
        <v>0</v>
      </c>
      <c r="I26" s="3" t="s">
        <v>0</v>
      </c>
      <c r="J26" s="3" t="s">
        <v>0</v>
      </c>
      <c r="K26" s="3" t="s">
        <v>0</v>
      </c>
      <c r="L26" s="4">
        <v>-1</v>
      </c>
      <c r="M26" s="3"/>
      <c r="BA26" s="22">
        <f t="shared" si="0"/>
        <v>0</v>
      </c>
    </row>
    <row r="27" spans="1:55" x14ac:dyDescent="0.2">
      <c r="A27" s="3" t="s">
        <v>16</v>
      </c>
      <c r="B27" s="3" t="s">
        <v>3</v>
      </c>
      <c r="C27" s="3" t="s">
        <v>103</v>
      </c>
      <c r="D27" s="3" t="s">
        <v>104</v>
      </c>
      <c r="E27" s="3">
        <v>0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0</v>
      </c>
      <c r="L27" s="4">
        <v>-1</v>
      </c>
      <c r="M27" s="3"/>
      <c r="BA27" s="22">
        <f t="shared" si="0"/>
        <v>0</v>
      </c>
    </row>
    <row r="28" spans="1:55" ht="16" x14ac:dyDescent="0.2">
      <c r="A28" s="3" t="s">
        <v>16</v>
      </c>
      <c r="B28" s="3" t="s">
        <v>17</v>
      </c>
      <c r="C28" s="3" t="s">
        <v>36</v>
      </c>
      <c r="D28" s="3" t="s">
        <v>35</v>
      </c>
      <c r="E28" s="3">
        <v>1</v>
      </c>
      <c r="F28" s="3" t="s">
        <v>15</v>
      </c>
      <c r="G28" s="3" t="s">
        <v>14</v>
      </c>
      <c r="H28" s="3" t="s">
        <v>34</v>
      </c>
      <c r="I28" s="6" t="s">
        <v>293</v>
      </c>
      <c r="J28" s="3" t="s">
        <v>24</v>
      </c>
      <c r="K28" s="7" t="s">
        <v>33</v>
      </c>
      <c r="L28" s="4">
        <v>15</v>
      </c>
      <c r="M28" s="3"/>
      <c r="N28" s="1">
        <v>1.3526086559999999E-2</v>
      </c>
      <c r="O28" s="1">
        <v>1.3266356039999998E-2</v>
      </c>
      <c r="P28" s="1">
        <v>1.4162851920000002E-2</v>
      </c>
      <c r="Q28" s="1">
        <v>1.5973337800000001E-2</v>
      </c>
      <c r="R28" s="1">
        <v>1.6045410919999999E-2</v>
      </c>
      <c r="S28" s="1">
        <v>1.6438265759999997E-2</v>
      </c>
      <c r="T28" s="1">
        <v>1.4494260759999997E-2</v>
      </c>
      <c r="U28" s="1">
        <v>1.619819992E-2</v>
      </c>
      <c r="V28" s="1">
        <v>1.7356602479999997E-2</v>
      </c>
      <c r="W28" s="1">
        <v>1.7084700919999998E-2</v>
      </c>
      <c r="X28" s="1">
        <v>1.7388613479999999E-2</v>
      </c>
      <c r="Y28" s="1">
        <v>1.6642661559999997E-2</v>
      </c>
      <c r="Z28" s="1">
        <v>1.7007398519999998E-2</v>
      </c>
      <c r="AA28" s="1">
        <v>1.6034755800000002E-2</v>
      </c>
      <c r="AB28" s="1">
        <v>1.713225052E-2</v>
      </c>
      <c r="AC28" s="1">
        <v>1.8136362999999999E-2</v>
      </c>
      <c r="AD28" s="1">
        <v>1.4605146919999999E-2</v>
      </c>
      <c r="AE28" s="1">
        <v>1.5134805279999997E-2</v>
      </c>
      <c r="AF28" s="1">
        <v>1.5714459600000001E-2</v>
      </c>
      <c r="AG28" s="1">
        <v>1.45915644E-2</v>
      </c>
      <c r="AH28" s="1">
        <v>1.7337187559999998E-2</v>
      </c>
      <c r="AI28" s="1">
        <v>1.95508208E-2</v>
      </c>
      <c r="AJ28" s="1">
        <v>1.7981999839999999E-2</v>
      </c>
      <c r="AK28" s="1">
        <v>1.7696658559999995E-2</v>
      </c>
      <c r="AL28" s="1">
        <v>1.7395192639999998E-2</v>
      </c>
      <c r="AM28" s="1">
        <v>1.7802953839999996E-2</v>
      </c>
      <c r="AN28" s="1">
        <v>1.7167454919999998E-2</v>
      </c>
      <c r="AO28" s="1">
        <v>1.5668178679999999E-2</v>
      </c>
      <c r="AP28" s="1">
        <v>1.590242276E-2</v>
      </c>
      <c r="AQ28" s="1">
        <v>1.4853976200000001E-2</v>
      </c>
      <c r="AR28" s="1">
        <v>1.41833538E-2</v>
      </c>
      <c r="AS28" s="1">
        <v>1.4862404479999999E-2</v>
      </c>
      <c r="AT28" s="1">
        <v>0</v>
      </c>
      <c r="AU28" s="1">
        <v>0</v>
      </c>
      <c r="AV28" s="1">
        <v>0</v>
      </c>
      <c r="AW28" s="1">
        <v>0</v>
      </c>
      <c r="AZ28" s="18">
        <v>1</v>
      </c>
      <c r="BA28" s="22">
        <f t="shared" si="0"/>
        <v>1.4862404479999999E-2</v>
      </c>
    </row>
    <row r="29" spans="1:55" ht="16" x14ac:dyDescent="0.2">
      <c r="A29" s="3" t="s">
        <v>16</v>
      </c>
      <c r="B29" s="3" t="s">
        <v>3</v>
      </c>
      <c r="C29" s="3" t="s">
        <v>39</v>
      </c>
      <c r="D29" s="3" t="s">
        <v>38</v>
      </c>
      <c r="E29" s="3">
        <v>1</v>
      </c>
      <c r="F29" s="3" t="s">
        <v>15</v>
      </c>
      <c r="G29" s="3" t="s">
        <v>14</v>
      </c>
      <c r="H29" s="3" t="s">
        <v>34</v>
      </c>
      <c r="I29" s="6" t="s">
        <v>293</v>
      </c>
      <c r="J29" s="3" t="s">
        <v>24</v>
      </c>
      <c r="K29" s="7" t="s">
        <v>37</v>
      </c>
      <c r="L29" s="4">
        <v>14</v>
      </c>
      <c r="M29" s="3"/>
      <c r="N29" s="1">
        <v>8.4145185000000011E-2</v>
      </c>
      <c r="O29" s="1">
        <v>8.7894707100000011E-2</v>
      </c>
      <c r="P29" s="1">
        <v>9.280019895000001E-2</v>
      </c>
      <c r="Q29" s="1">
        <v>9.67136262E-2</v>
      </c>
      <c r="R29" s="1">
        <v>9.8227934249999982E-2</v>
      </c>
      <c r="S29" s="1">
        <v>9.4153447949999983E-2</v>
      </c>
      <c r="T29" s="1">
        <v>9.0447801900000013E-2</v>
      </c>
      <c r="U29" s="1">
        <v>0.10029725564999999</v>
      </c>
      <c r="V29" s="1">
        <v>0.10125401430000001</v>
      </c>
      <c r="W29" s="1">
        <v>0.10157450265000001</v>
      </c>
      <c r="X29" s="1">
        <v>0.11131736279999999</v>
      </c>
      <c r="Y29" s="1">
        <v>0.10677398549999999</v>
      </c>
      <c r="Z29" s="1">
        <v>0.10288198349999998</v>
      </c>
      <c r="AA29" s="1">
        <v>0.10821404849999999</v>
      </c>
      <c r="AB29" s="1">
        <v>0.11344696110000001</v>
      </c>
      <c r="AC29" s="1">
        <v>0.11331739199999998</v>
      </c>
      <c r="AD29" s="1">
        <v>0.11300486159999996</v>
      </c>
      <c r="AE29" s="1">
        <v>0.10795352699999999</v>
      </c>
      <c r="AF29" s="1">
        <v>0.11308631729999997</v>
      </c>
      <c r="AG29" s="1">
        <v>0.1084128303</v>
      </c>
      <c r="AH29" s="1">
        <v>0.11476805235</v>
      </c>
      <c r="AI29" s="1">
        <v>0.12160712729999999</v>
      </c>
      <c r="AJ29" s="1">
        <v>0.10679980709999998</v>
      </c>
      <c r="AK29" s="1">
        <v>0.1040009142</v>
      </c>
      <c r="AL29" s="1">
        <v>9.6991844399999985E-2</v>
      </c>
      <c r="AM29" s="1">
        <v>8.3072475599999987E-2</v>
      </c>
      <c r="AN29" s="1">
        <v>7.043967914999999E-2</v>
      </c>
      <c r="AO29" s="1">
        <v>6.9733099050000011E-2</v>
      </c>
      <c r="AP29" s="1">
        <v>6.8003719650000002E-2</v>
      </c>
      <c r="AQ29" s="1">
        <v>4.8905784449999996E-2</v>
      </c>
      <c r="AR29" s="1">
        <v>3.2776840349999996E-2</v>
      </c>
      <c r="AS29" s="1">
        <v>5.0993979149999986E-2</v>
      </c>
      <c r="AT29" s="1">
        <v>0</v>
      </c>
      <c r="AU29" s="1">
        <v>0</v>
      </c>
      <c r="AV29" s="1">
        <v>0</v>
      </c>
      <c r="AW29" s="1">
        <v>0</v>
      </c>
      <c r="AZ29" s="1">
        <v>1</v>
      </c>
      <c r="BA29" s="22">
        <f t="shared" si="0"/>
        <v>5.0993979149999986E-2</v>
      </c>
    </row>
    <row r="30" spans="1:55" ht="16" x14ac:dyDescent="0.2">
      <c r="A30" s="3" t="s">
        <v>101</v>
      </c>
      <c r="B30" s="3" t="s">
        <v>17</v>
      </c>
      <c r="C30" s="3" t="s">
        <v>22</v>
      </c>
      <c r="D30" s="3" t="s">
        <v>88</v>
      </c>
      <c r="E30" s="3">
        <v>1</v>
      </c>
      <c r="F30" s="3" t="s">
        <v>18</v>
      </c>
      <c r="G30" s="3" t="s">
        <v>17</v>
      </c>
      <c r="H30" s="3" t="s">
        <v>21</v>
      </c>
      <c r="I30" s="8" t="s">
        <v>296</v>
      </c>
      <c r="J30" s="3" t="s">
        <v>20</v>
      </c>
      <c r="K30" s="3"/>
      <c r="L30" s="4">
        <v>23</v>
      </c>
      <c r="M30" s="3"/>
      <c r="N30" s="1">
        <v>1234.407735</v>
      </c>
      <c r="O30" s="1">
        <v>1220.8470725000002</v>
      </c>
      <c r="P30" s="1">
        <v>1255.3298999999995</v>
      </c>
      <c r="Q30" s="1">
        <v>1214.2604650000001</v>
      </c>
      <c r="R30" s="1">
        <v>1341.7306925</v>
      </c>
      <c r="S30" s="1">
        <v>1440.9172525000001</v>
      </c>
      <c r="T30" s="1">
        <v>1247.9683975000003</v>
      </c>
      <c r="U30" s="1">
        <v>1373.5013875</v>
      </c>
      <c r="V30" s="1">
        <v>1246.0311600000002</v>
      </c>
      <c r="W30" s="1">
        <v>1144.1324674999998</v>
      </c>
      <c r="X30" s="1">
        <v>1428.9063800000001</v>
      </c>
      <c r="Y30" s="1">
        <v>1439.4201553599999</v>
      </c>
      <c r="Z30" s="1">
        <v>1473.2726057774998</v>
      </c>
      <c r="AA30" s="1">
        <v>1560.6811492249997</v>
      </c>
      <c r="AB30" s="1">
        <v>1474.4268118800003</v>
      </c>
      <c r="AC30" s="1">
        <v>1612.1543244950001</v>
      </c>
      <c r="AD30" s="1">
        <v>1593.9652141599997</v>
      </c>
      <c r="AE30" s="1">
        <v>1211.3879292349998</v>
      </c>
      <c r="AF30" s="1">
        <v>1489.0548922425</v>
      </c>
      <c r="AG30" s="1">
        <v>1417.0566856600001</v>
      </c>
      <c r="AH30" s="1">
        <v>1528.3029365450004</v>
      </c>
      <c r="AI30" s="1">
        <v>1497.3683532499999</v>
      </c>
      <c r="AJ30" s="1">
        <v>1538.6040032274998</v>
      </c>
      <c r="AK30" s="1">
        <v>1088.6387495225001</v>
      </c>
      <c r="AL30" s="1">
        <v>1009.25734338</v>
      </c>
      <c r="AM30" s="1">
        <v>1332.3265667800001</v>
      </c>
      <c r="AN30" s="1">
        <v>1083.9448230600003</v>
      </c>
      <c r="AO30" s="1">
        <v>805.3355877324999</v>
      </c>
      <c r="AP30" s="1">
        <v>2497.5585200179003</v>
      </c>
      <c r="AQ30" s="1">
        <v>691.57120987750011</v>
      </c>
      <c r="AR30" s="1">
        <v>262.30195749999996</v>
      </c>
      <c r="AS30" s="1">
        <v>116.23425</v>
      </c>
      <c r="AT30" s="1">
        <v>0</v>
      </c>
      <c r="AU30" s="1">
        <v>0</v>
      </c>
      <c r="AV30" s="1">
        <v>0</v>
      </c>
      <c r="AW30" s="1">
        <v>0</v>
      </c>
      <c r="AZ30" s="1">
        <f>28/1000000</f>
        <v>2.8E-5</v>
      </c>
      <c r="BA30" s="22">
        <f t="shared" si="0"/>
        <v>3.2545590000000002E-3</v>
      </c>
      <c r="BC30" s="21">
        <f>+BA30+BA31+BA32</f>
        <v>13.09410388204167</v>
      </c>
    </row>
    <row r="31" spans="1:55" ht="16" x14ac:dyDescent="0.2">
      <c r="A31" s="3" t="s">
        <v>101</v>
      </c>
      <c r="B31" s="3" t="s">
        <v>17</v>
      </c>
      <c r="C31" s="3" t="s">
        <v>86</v>
      </c>
      <c r="D31" s="3" t="s">
        <v>87</v>
      </c>
      <c r="E31" s="3">
        <v>1</v>
      </c>
      <c r="F31" s="3" t="s">
        <v>18</v>
      </c>
      <c r="G31" s="3" t="s">
        <v>17</v>
      </c>
      <c r="H31" s="3" t="s">
        <v>13</v>
      </c>
      <c r="I31" s="6" t="s">
        <v>293</v>
      </c>
      <c r="J31" s="3" t="s">
        <v>19</v>
      </c>
      <c r="K31" s="3"/>
      <c r="L31" s="4">
        <v>23</v>
      </c>
      <c r="M31" s="3"/>
      <c r="N31" s="1">
        <v>90478.678641204911</v>
      </c>
      <c r="O31" s="1">
        <v>89903.820566198527</v>
      </c>
      <c r="P31" s="1">
        <v>88502.269873536177</v>
      </c>
      <c r="Q31" s="1">
        <v>89697.569105275586</v>
      </c>
      <c r="R31" s="1">
        <v>84049.382959382885</v>
      </c>
      <c r="S31" s="1">
        <v>89790.181991973586</v>
      </c>
      <c r="T31" s="1">
        <v>100936.26365006903</v>
      </c>
      <c r="U31" s="1">
        <v>103417.49633341513</v>
      </c>
      <c r="V31" s="1">
        <v>104578.51248227592</v>
      </c>
      <c r="W31" s="1">
        <v>96838.452476186736</v>
      </c>
      <c r="X31" s="1">
        <v>86830.753453929181</v>
      </c>
      <c r="Y31" s="1">
        <v>86829.87806160051</v>
      </c>
      <c r="Z31" s="1">
        <v>78688.306102857125</v>
      </c>
      <c r="AA31" s="1">
        <v>78076.828075508864</v>
      </c>
      <c r="AB31" s="1">
        <v>75543.749916861329</v>
      </c>
      <c r="AC31" s="1">
        <v>68396.06197069159</v>
      </c>
      <c r="AD31" s="1">
        <v>71939.186032595113</v>
      </c>
      <c r="AE31" s="1">
        <v>75188.253077224406</v>
      </c>
      <c r="AF31" s="1">
        <v>73593.931267433392</v>
      </c>
      <c r="AG31" s="1">
        <v>64633.277085380483</v>
      </c>
      <c r="AH31" s="1">
        <v>62444.662551537847</v>
      </c>
      <c r="AI31" s="1">
        <v>63655.554811175956</v>
      </c>
      <c r="AJ31" s="1">
        <v>55859.742667559411</v>
      </c>
      <c r="AK31" s="1">
        <v>61078.678729131949</v>
      </c>
      <c r="AL31" s="1">
        <v>53559.126926019017</v>
      </c>
      <c r="AM31" s="1">
        <v>47143.203922289918</v>
      </c>
      <c r="AN31" s="1">
        <v>33590.295977621296</v>
      </c>
      <c r="AO31" s="1">
        <v>39746.659057246121</v>
      </c>
      <c r="AP31" s="1">
        <v>32298.584123570756</v>
      </c>
      <c r="AQ31" s="1">
        <v>29210.513489327863</v>
      </c>
      <c r="AR31" s="1">
        <v>23821.707171926253</v>
      </c>
      <c r="AS31" s="1">
        <v>22610.559709970337</v>
      </c>
      <c r="AT31" s="1">
        <v>0</v>
      </c>
      <c r="AU31" s="1">
        <v>0</v>
      </c>
      <c r="AV31" s="1">
        <v>0</v>
      </c>
      <c r="AW31" s="1">
        <v>0</v>
      </c>
      <c r="AZ31" s="1">
        <f>28/1000000</f>
        <v>2.8E-5</v>
      </c>
      <c r="BA31" s="22">
        <f t="shared" si="0"/>
        <v>0.63309567187916949</v>
      </c>
    </row>
    <row r="32" spans="1:55" s="18" customFormat="1" ht="16" x14ac:dyDescent="0.2">
      <c r="A32" s="14" t="s">
        <v>101</v>
      </c>
      <c r="B32" s="14" t="s">
        <v>17</v>
      </c>
      <c r="C32" s="14" t="s">
        <v>89</v>
      </c>
      <c r="D32" s="14" t="s">
        <v>87</v>
      </c>
      <c r="E32" s="14">
        <v>1</v>
      </c>
      <c r="F32" s="14" t="s">
        <v>18</v>
      </c>
      <c r="G32" s="14" t="s">
        <v>17</v>
      </c>
      <c r="H32" s="14" t="s">
        <v>13</v>
      </c>
      <c r="I32" s="19" t="s">
        <v>297</v>
      </c>
      <c r="J32" s="14" t="s">
        <v>12</v>
      </c>
      <c r="K32" s="14"/>
      <c r="L32" s="16">
        <v>19</v>
      </c>
      <c r="M32" s="14"/>
      <c r="N32" s="18">
        <v>180543.41</v>
      </c>
      <c r="O32" s="18">
        <v>163857.83000000002</v>
      </c>
      <c r="P32" s="18">
        <v>149712.95999999999</v>
      </c>
      <c r="Q32" s="18">
        <v>175462.63</v>
      </c>
      <c r="R32" s="18">
        <v>148628.26</v>
      </c>
      <c r="S32" s="18">
        <v>165352.23000000001</v>
      </c>
      <c r="T32" s="18">
        <v>181551.65</v>
      </c>
      <c r="U32" s="18">
        <v>177551.46</v>
      </c>
      <c r="V32" s="18">
        <v>218396.12999999998</v>
      </c>
      <c r="W32" s="18">
        <v>198430.78999999998</v>
      </c>
      <c r="X32" s="18">
        <v>186516</v>
      </c>
      <c r="Y32" s="18">
        <v>194074.5</v>
      </c>
      <c r="Z32" s="18">
        <v>202977</v>
      </c>
      <c r="AA32" s="18">
        <v>201065.93</v>
      </c>
      <c r="AB32" s="18">
        <v>246112.58</v>
      </c>
      <c r="AC32" s="18">
        <v>223607.06</v>
      </c>
      <c r="AD32" s="18">
        <v>207238.33</v>
      </c>
      <c r="AE32" s="18">
        <v>215381.15</v>
      </c>
      <c r="AF32" s="18">
        <v>228058.31</v>
      </c>
      <c r="AG32" s="18">
        <v>223868.19999999998</v>
      </c>
      <c r="AH32" s="18">
        <v>523402.68999272166</v>
      </c>
      <c r="AI32" s="18">
        <v>526211.98465497594</v>
      </c>
      <c r="AJ32" s="18">
        <v>517804.8263813238</v>
      </c>
      <c r="AK32" s="18">
        <v>508963.66869801155</v>
      </c>
      <c r="AL32" s="18">
        <v>505075.25207549235</v>
      </c>
      <c r="AM32" s="18">
        <v>501724.26487900881</v>
      </c>
      <c r="AN32" s="18">
        <v>488874.69093432027</v>
      </c>
      <c r="AO32" s="18">
        <v>480200.36380781454</v>
      </c>
      <c r="AP32" s="18">
        <v>463434.42807786044</v>
      </c>
      <c r="AQ32" s="18">
        <v>457583.82252360368</v>
      </c>
      <c r="AR32" s="18">
        <v>443761.88583527424</v>
      </c>
      <c r="AS32" s="18">
        <v>444919.77325580356</v>
      </c>
      <c r="AT32" s="18">
        <v>270838.23661949835</v>
      </c>
      <c r="AU32" s="18">
        <v>271113.7004255724</v>
      </c>
      <c r="AV32" s="18">
        <v>0</v>
      </c>
      <c r="AW32" s="18">
        <v>0</v>
      </c>
      <c r="AZ32" s="1">
        <f>28/1000000</f>
        <v>2.8E-5</v>
      </c>
      <c r="BA32" s="22">
        <f t="shared" si="0"/>
        <v>12.4577536511625</v>
      </c>
    </row>
    <row r="33" spans="1:55" ht="16" x14ac:dyDescent="0.2">
      <c r="A33" s="3" t="s">
        <v>101</v>
      </c>
      <c r="B33" s="3" t="s">
        <v>9</v>
      </c>
      <c r="C33" s="3" t="s">
        <v>90</v>
      </c>
      <c r="D33" s="3" t="s">
        <v>91</v>
      </c>
      <c r="E33" s="3">
        <v>1</v>
      </c>
      <c r="F33" s="3" t="s">
        <v>15</v>
      </c>
      <c r="G33" s="3" t="s">
        <v>14</v>
      </c>
      <c r="H33" s="3" t="s">
        <v>13</v>
      </c>
      <c r="I33" s="6" t="s">
        <v>293</v>
      </c>
      <c r="J33" s="3" t="s">
        <v>12</v>
      </c>
      <c r="K33" s="3"/>
      <c r="L33" s="4">
        <v>27</v>
      </c>
      <c r="M33" s="3"/>
      <c r="N33" s="1">
        <v>2.6938547480000005E-2</v>
      </c>
      <c r="O33" s="1">
        <v>3.0454824832000002E-2</v>
      </c>
      <c r="P33" s="1">
        <v>3.1189952159999999E-2</v>
      </c>
      <c r="Q33" s="1">
        <v>3.2432963359999997E-2</v>
      </c>
      <c r="R33" s="1">
        <v>3.45800026E-2</v>
      </c>
      <c r="S33" s="1">
        <v>3.4998555984E-2</v>
      </c>
      <c r="T33" s="1">
        <v>3.4753717792000004E-2</v>
      </c>
      <c r="U33" s="1">
        <v>3.294679968E-2</v>
      </c>
      <c r="V33" s="1">
        <v>2.9365920760000001E-2</v>
      </c>
      <c r="W33" s="1">
        <v>2.6890402679999998E-2</v>
      </c>
      <c r="X33" s="1">
        <v>2.5533769752000002E-2</v>
      </c>
      <c r="Y33" s="1">
        <v>2.3262910839999998E-2</v>
      </c>
      <c r="Z33" s="1">
        <v>2.2013903424000003E-2</v>
      </c>
      <c r="AA33" s="1">
        <v>2.0275963679999998E-2</v>
      </c>
      <c r="AB33" s="1">
        <v>1.9231309056000002E-2</v>
      </c>
      <c r="AC33" s="1">
        <v>1.8264911615999999E-2</v>
      </c>
      <c r="AD33" s="1">
        <v>1.7620777960000004E-2</v>
      </c>
      <c r="AE33" s="1">
        <v>1.7508337968000002E-2</v>
      </c>
      <c r="AF33" s="1">
        <v>1.7958010400000002E-2</v>
      </c>
      <c r="AG33" s="1">
        <v>1.7010564504E-2</v>
      </c>
      <c r="AH33" s="1">
        <v>1.5522496272000001E-2</v>
      </c>
      <c r="AI33" s="1">
        <v>1.5344798192000001E-2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Z33" s="1">
        <v>1</v>
      </c>
      <c r="BA33" s="23">
        <f t="shared" si="0"/>
        <v>0</v>
      </c>
    </row>
    <row r="34" spans="1:55" ht="16" x14ac:dyDescent="0.2">
      <c r="A34" s="3" t="s">
        <v>99</v>
      </c>
      <c r="B34" s="3" t="s">
        <v>9</v>
      </c>
      <c r="C34" s="3" t="s">
        <v>116</v>
      </c>
      <c r="D34" s="3" t="s">
        <v>117</v>
      </c>
      <c r="E34" s="3">
        <v>1</v>
      </c>
      <c r="F34" s="3" t="s">
        <v>15</v>
      </c>
      <c r="G34" s="3" t="s">
        <v>14</v>
      </c>
      <c r="H34" s="3" t="s">
        <v>25</v>
      </c>
      <c r="I34" s="6" t="s">
        <v>293</v>
      </c>
      <c r="J34" s="3" t="s">
        <v>114</v>
      </c>
      <c r="K34" s="3" t="s">
        <v>115</v>
      </c>
      <c r="L34" s="4" t="s">
        <v>310</v>
      </c>
      <c r="M34" s="3"/>
      <c r="N34" s="1">
        <v>108.04245434485566</v>
      </c>
      <c r="O34" s="1">
        <v>105.17364851969239</v>
      </c>
      <c r="P34" s="1">
        <v>111.65306291141984</v>
      </c>
      <c r="Q34" s="1">
        <v>113.17478557171432</v>
      </c>
      <c r="R34" s="1">
        <v>115.58416110218243</v>
      </c>
      <c r="S34" s="1">
        <v>115.08509333826336</v>
      </c>
      <c r="T34" s="1">
        <v>119.53250818536662</v>
      </c>
      <c r="U34" s="1">
        <v>126.84874193934752</v>
      </c>
      <c r="V34" s="1">
        <v>112.58668494535561</v>
      </c>
      <c r="W34" s="1">
        <v>111.82998568583496</v>
      </c>
      <c r="X34" s="1">
        <v>118.63880147274998</v>
      </c>
      <c r="Y34" s="1">
        <v>105.8318127606431</v>
      </c>
      <c r="Z34" s="1">
        <v>109.57081189910201</v>
      </c>
      <c r="AA34" s="1">
        <v>108.24071075520698</v>
      </c>
      <c r="AB34" s="1">
        <v>115.11097427518135</v>
      </c>
      <c r="AC34" s="1">
        <v>108.92127846764748</v>
      </c>
      <c r="AD34" s="1">
        <v>118.80915566558009</v>
      </c>
      <c r="AE34" s="1">
        <v>115.88472914239827</v>
      </c>
      <c r="AF34" s="1">
        <v>112.21489081069288</v>
      </c>
      <c r="AG34" s="1">
        <v>104.91423724973356</v>
      </c>
      <c r="AH34" s="1">
        <v>111.62635195427708</v>
      </c>
      <c r="AI34" s="1">
        <v>112.11835150328912</v>
      </c>
      <c r="AJ34" s="1">
        <v>112.15582000808067</v>
      </c>
      <c r="AK34" s="1">
        <v>109.30861006239761</v>
      </c>
      <c r="AL34" s="1">
        <v>107.11733432777152</v>
      </c>
      <c r="AM34" s="1">
        <v>106.77188070445214</v>
      </c>
      <c r="AN34" s="1">
        <v>111.83271507699524</v>
      </c>
      <c r="AO34" s="1">
        <v>116.67316643426398</v>
      </c>
      <c r="AP34" s="1">
        <v>121.08807280863093</v>
      </c>
      <c r="AQ34" s="1">
        <v>122.62423220650183</v>
      </c>
      <c r="AR34" s="1">
        <v>117.36393428043542</v>
      </c>
      <c r="AS34" s="1">
        <v>116.70887226807886</v>
      </c>
      <c r="AT34" s="1">
        <v>0</v>
      </c>
      <c r="AU34" s="1">
        <v>0</v>
      </c>
      <c r="AV34" s="1">
        <v>0</v>
      </c>
      <c r="AW34" s="1">
        <v>0</v>
      </c>
      <c r="AZ34" s="1">
        <v>1</v>
      </c>
      <c r="BA34" s="22">
        <f t="shared" si="0"/>
        <v>116.70887226807886</v>
      </c>
    </row>
    <row r="35" spans="1:55" ht="16" x14ac:dyDescent="0.2">
      <c r="A35" s="3" t="s">
        <v>99</v>
      </c>
      <c r="B35" s="3" t="s">
        <v>17</v>
      </c>
      <c r="C35" s="3" t="s">
        <v>102</v>
      </c>
      <c r="D35" s="3" t="s">
        <v>100</v>
      </c>
      <c r="E35" s="3">
        <v>1</v>
      </c>
      <c r="F35" s="3" t="s">
        <v>15</v>
      </c>
      <c r="G35" s="3" t="s">
        <v>14</v>
      </c>
      <c r="H35" s="3" t="s">
        <v>34</v>
      </c>
      <c r="I35" s="6" t="s">
        <v>293</v>
      </c>
      <c r="J35" s="3"/>
      <c r="K35" s="7" t="s">
        <v>33</v>
      </c>
      <c r="L35" s="4">
        <v>12</v>
      </c>
      <c r="M35" s="3"/>
      <c r="N35" s="1">
        <v>0.15368455471449047</v>
      </c>
      <c r="O35" s="1">
        <v>0.15102397028320438</v>
      </c>
      <c r="P35" s="1">
        <v>0.15961178258082123</v>
      </c>
      <c r="Q35" s="1">
        <v>0.15998004314161796</v>
      </c>
      <c r="R35" s="1">
        <v>0.17092586698720427</v>
      </c>
      <c r="S35" s="1">
        <v>0.17332045180823583</v>
      </c>
      <c r="T35" s="1">
        <v>0.17627556530130398</v>
      </c>
      <c r="U35" s="1">
        <v>0.18089714356558662</v>
      </c>
      <c r="V35" s="1">
        <v>0.16775612745312371</v>
      </c>
      <c r="W35" s="1">
        <v>0.16887171098600465</v>
      </c>
      <c r="X35" s="1">
        <v>0.17470272250195498</v>
      </c>
      <c r="Y35" s="1">
        <v>0.16337602406228471</v>
      </c>
      <c r="Z35" s="1">
        <v>0.17000796036704915</v>
      </c>
      <c r="AA35" s="1">
        <v>0.1735742356837813</v>
      </c>
      <c r="AB35" s="1">
        <v>0.20797205707887648</v>
      </c>
      <c r="AC35" s="1">
        <v>0.17950135233253209</v>
      </c>
      <c r="AD35" s="1">
        <v>0.18467160423072618</v>
      </c>
      <c r="AE35" s="1">
        <v>0.17601398614399175</v>
      </c>
      <c r="AF35" s="1">
        <v>0.13244267256773287</v>
      </c>
      <c r="AG35" s="1">
        <v>0.12648243636949813</v>
      </c>
      <c r="AH35" s="1">
        <v>0.13849834087941104</v>
      </c>
      <c r="AI35" s="1">
        <v>0.1391536043636096</v>
      </c>
      <c r="AJ35" s="1">
        <v>0.14236598148281843</v>
      </c>
      <c r="AK35" s="1">
        <v>0.14769697349490873</v>
      </c>
      <c r="AL35" s="1">
        <v>0.16207444412793362</v>
      </c>
      <c r="AM35" s="1">
        <v>0.15098910787271411</v>
      </c>
      <c r="AN35" s="1">
        <v>0.16885882322184784</v>
      </c>
      <c r="AO35" s="1">
        <v>0.1605732774310128</v>
      </c>
      <c r="AP35" s="1">
        <v>0.15875683340084562</v>
      </c>
      <c r="AQ35" s="1">
        <v>0.15075495728326971</v>
      </c>
      <c r="AR35" s="1">
        <v>0.14467756717038385</v>
      </c>
      <c r="AS35" s="1">
        <v>0.1420722530316906</v>
      </c>
      <c r="AT35" s="1">
        <v>0</v>
      </c>
      <c r="AU35" s="1">
        <v>0</v>
      </c>
      <c r="AV35" s="1">
        <v>0</v>
      </c>
      <c r="AW35" s="1">
        <v>0</v>
      </c>
      <c r="AZ35" s="18">
        <v>1</v>
      </c>
      <c r="BA35" s="22">
        <f t="shared" si="0"/>
        <v>0.1420722530316906</v>
      </c>
    </row>
    <row r="36" spans="1:55" ht="16" x14ac:dyDescent="0.2">
      <c r="A36" s="3" t="s">
        <v>99</v>
      </c>
      <c r="B36" s="3" t="s">
        <v>3</v>
      </c>
      <c r="C36" s="3" t="s">
        <v>107</v>
      </c>
      <c r="D36" s="3" t="s">
        <v>106</v>
      </c>
      <c r="E36" s="3">
        <v>1</v>
      </c>
      <c r="F36" s="3" t="s">
        <v>15</v>
      </c>
      <c r="G36" s="3" t="s">
        <v>14</v>
      </c>
      <c r="H36" s="3" t="s">
        <v>34</v>
      </c>
      <c r="I36" s="6" t="s">
        <v>293</v>
      </c>
      <c r="J36" s="3"/>
      <c r="K36" s="3" t="s">
        <v>37</v>
      </c>
      <c r="L36" s="4">
        <v>11</v>
      </c>
      <c r="M36" s="3"/>
      <c r="N36" s="1">
        <v>0.20585406814171028</v>
      </c>
      <c r="O36" s="1">
        <v>0.20149103960027739</v>
      </c>
      <c r="P36" s="1">
        <v>0.21525444592189594</v>
      </c>
      <c r="Q36" s="1">
        <v>0.21609989396508741</v>
      </c>
      <c r="R36" s="1">
        <v>0.23174922376317256</v>
      </c>
      <c r="S36" s="1">
        <v>0.23376084221742008</v>
      </c>
      <c r="T36" s="1">
        <v>0.24038891866051934</v>
      </c>
      <c r="U36" s="1">
        <v>0.24461984911756274</v>
      </c>
      <c r="V36" s="1">
        <v>0.22679043344182193</v>
      </c>
      <c r="W36" s="1">
        <v>0.22949070339583114</v>
      </c>
      <c r="X36" s="1">
        <v>0.23921254636974965</v>
      </c>
      <c r="Y36" s="1">
        <v>0.22603404382635414</v>
      </c>
      <c r="Z36" s="1">
        <v>0.23553973553666155</v>
      </c>
      <c r="AA36" s="1">
        <v>0.24057822692421715</v>
      </c>
      <c r="AB36" s="1">
        <v>0.28545815716009337</v>
      </c>
      <c r="AC36" s="1">
        <v>0.24783548371316355</v>
      </c>
      <c r="AD36" s="1">
        <v>0.25681593387768037</v>
      </c>
      <c r="AE36" s="1">
        <v>0.23987224387759687</v>
      </c>
      <c r="AF36" s="1">
        <v>0.18238955904003129</v>
      </c>
      <c r="AG36" s="1">
        <v>0.17516015981170865</v>
      </c>
      <c r="AH36" s="1">
        <v>0.19158521278005189</v>
      </c>
      <c r="AI36" s="1">
        <v>0.19267614298186533</v>
      </c>
      <c r="AJ36" s="1">
        <v>0.19736298151545287</v>
      </c>
      <c r="AK36" s="1">
        <v>0.20243499363064252</v>
      </c>
      <c r="AL36" s="1">
        <v>0.21748047300939066</v>
      </c>
      <c r="AM36" s="1">
        <v>0.20421348263067965</v>
      </c>
      <c r="AN36" s="1">
        <v>0.22779769980729572</v>
      </c>
      <c r="AO36" s="1">
        <v>0.21740112683551741</v>
      </c>
      <c r="AP36" s="1">
        <v>0.2142850175810643</v>
      </c>
      <c r="AQ36" s="1">
        <v>0.20398417508055033</v>
      </c>
      <c r="AR36" s="1">
        <v>0.19435855068195737</v>
      </c>
      <c r="AS36" s="1">
        <v>0.19167710150055681</v>
      </c>
      <c r="AT36" s="1">
        <v>0</v>
      </c>
      <c r="AU36" s="1">
        <v>0</v>
      </c>
      <c r="AV36" s="1">
        <v>0</v>
      </c>
      <c r="AW36" s="1">
        <v>0</v>
      </c>
      <c r="AZ36" s="1">
        <v>1</v>
      </c>
      <c r="BA36" s="22">
        <f t="shared" si="0"/>
        <v>0.19167710150055681</v>
      </c>
    </row>
    <row r="37" spans="1:55" ht="16" x14ac:dyDescent="0.2">
      <c r="A37" s="3" t="s">
        <v>235</v>
      </c>
      <c r="B37" s="3" t="s">
        <v>9</v>
      </c>
      <c r="C37" s="3" t="s">
        <v>241</v>
      </c>
      <c r="D37" s="3" t="s">
        <v>247</v>
      </c>
      <c r="E37" s="3">
        <v>1</v>
      </c>
      <c r="F37" s="3" t="s">
        <v>15</v>
      </c>
      <c r="G37" s="3" t="s">
        <v>14</v>
      </c>
      <c r="H37" s="3" t="s">
        <v>237</v>
      </c>
      <c r="I37" s="3" t="s">
        <v>298</v>
      </c>
      <c r="J37" s="7" t="s">
        <v>238</v>
      </c>
      <c r="K37" s="9" t="s">
        <v>246</v>
      </c>
      <c r="L37" s="4">
        <v>27</v>
      </c>
      <c r="M37" s="3"/>
      <c r="N37" s="1">
        <v>-10.860612022571027</v>
      </c>
      <c r="O37" s="1">
        <v>-10.860612022571027</v>
      </c>
      <c r="P37" s="1">
        <v>-10.860612022571027</v>
      </c>
      <c r="Q37" s="1">
        <v>-10.155088121324328</v>
      </c>
      <c r="R37" s="1">
        <v>-10.155088121324328</v>
      </c>
      <c r="S37" s="1">
        <v>-10.155088121324328</v>
      </c>
      <c r="T37" s="1">
        <v>-10.155088121324328</v>
      </c>
      <c r="U37" s="1">
        <v>-10.155088121324328</v>
      </c>
      <c r="V37" s="1">
        <v>-10.155088121324328</v>
      </c>
      <c r="W37" s="1">
        <v>-10.155088121324328</v>
      </c>
      <c r="X37" s="1">
        <v>-10.155088121324328</v>
      </c>
      <c r="Y37" s="1">
        <v>-10.155088121324328</v>
      </c>
      <c r="Z37" s="1">
        <v>-10.155088121324328</v>
      </c>
      <c r="AA37" s="1">
        <v>-10.155088121324328</v>
      </c>
      <c r="AB37" s="1">
        <v>-10.155088121324328</v>
      </c>
      <c r="AC37" s="1">
        <v>-10.155088121324328</v>
      </c>
      <c r="AD37" s="1">
        <v>-10.155088121324328</v>
      </c>
      <c r="AE37" s="1">
        <v>-10.155088121324328</v>
      </c>
      <c r="AF37" s="1">
        <v>-10.155088121324328</v>
      </c>
      <c r="AG37" s="1">
        <v>-10.155088121324328</v>
      </c>
      <c r="AH37" s="1">
        <v>-10.155088121324328</v>
      </c>
      <c r="AI37" s="1">
        <v>-10.155088121324328</v>
      </c>
      <c r="AJ37" s="1">
        <v>-10.155088121324328</v>
      </c>
      <c r="AK37" s="1">
        <v>-10.155088121324328</v>
      </c>
      <c r="AL37" s="1">
        <v>-10.155088121324328</v>
      </c>
      <c r="AM37" s="1">
        <v>-10.155088121324328</v>
      </c>
      <c r="AN37" s="1">
        <v>-10.155088121324328</v>
      </c>
      <c r="AO37" s="1">
        <v>-10.155088121324328</v>
      </c>
      <c r="AP37" s="1">
        <v>-10.155088121324328</v>
      </c>
      <c r="AQ37" s="1">
        <v>-10.155088121324328</v>
      </c>
      <c r="AR37" s="1">
        <v>-10.155088121324328</v>
      </c>
      <c r="AS37" s="1">
        <v>-10.155088121324328</v>
      </c>
      <c r="AT37" s="1">
        <v>0</v>
      </c>
      <c r="AU37" s="1">
        <v>0</v>
      </c>
      <c r="AV37" s="1">
        <v>0</v>
      </c>
      <c r="AW37" s="1">
        <v>0</v>
      </c>
      <c r="AZ37" s="1">
        <v>1</v>
      </c>
      <c r="BA37" s="22">
        <f t="shared" si="0"/>
        <v>-10.155088121324328</v>
      </c>
      <c r="BC37" s="21">
        <f>+BA37+BA38+BA42</f>
        <v>-36.545088121324326</v>
      </c>
    </row>
    <row r="38" spans="1:55" ht="16" x14ac:dyDescent="0.2">
      <c r="A38" s="3" t="s">
        <v>235</v>
      </c>
      <c r="B38" s="3" t="s">
        <v>9</v>
      </c>
      <c r="C38" s="3" t="s">
        <v>234</v>
      </c>
      <c r="D38" s="3" t="s">
        <v>236</v>
      </c>
      <c r="E38" s="3">
        <v>1</v>
      </c>
      <c r="F38" s="3" t="s">
        <v>15</v>
      </c>
      <c r="G38" s="3" t="s">
        <v>14</v>
      </c>
      <c r="H38" s="3" t="s">
        <v>237</v>
      </c>
      <c r="I38" s="3" t="s">
        <v>298</v>
      </c>
      <c r="J38" s="7" t="s">
        <v>238</v>
      </c>
      <c r="K38" s="3" t="s">
        <v>239</v>
      </c>
      <c r="L38" s="4" t="s">
        <v>240</v>
      </c>
      <c r="M38" s="3"/>
      <c r="N38" s="1">
        <v>-17.580000000000002</v>
      </c>
      <c r="O38" s="1">
        <v>-17.510000000000002</v>
      </c>
      <c r="P38" s="1">
        <v>-17.46</v>
      </c>
      <c r="Q38" s="1">
        <v>-17.39</v>
      </c>
      <c r="R38" s="1">
        <v>-17.34</v>
      </c>
      <c r="S38" s="1">
        <v>-17.28</v>
      </c>
      <c r="T38" s="1">
        <v>-17.22</v>
      </c>
      <c r="U38" s="1">
        <v>-17.149999999999999</v>
      </c>
      <c r="V38" s="1">
        <v>-17.09</v>
      </c>
      <c r="W38" s="1">
        <v>-17.510000000000002</v>
      </c>
      <c r="X38" s="1">
        <v>-17.939999999999998</v>
      </c>
      <c r="Y38" s="1">
        <v>-18.36</v>
      </c>
      <c r="Z38" s="1">
        <v>-18.79</v>
      </c>
      <c r="AA38" s="1">
        <v>-19.220000000000002</v>
      </c>
      <c r="AB38" s="1">
        <v>-19.649999999999999</v>
      </c>
      <c r="AC38" s="1">
        <v>-20.060000000000002</v>
      </c>
      <c r="AD38" s="1">
        <v>-20.48</v>
      </c>
      <c r="AE38" s="1">
        <v>-21.130000000000003</v>
      </c>
      <c r="AF38" s="1">
        <v>-21.77</v>
      </c>
      <c r="AG38" s="1">
        <v>-22.42</v>
      </c>
      <c r="AH38" s="1">
        <v>-23.06</v>
      </c>
      <c r="AI38" s="1">
        <v>-23.710000000000004</v>
      </c>
      <c r="AJ38" s="1">
        <v>-24.350000000000005</v>
      </c>
      <c r="AK38" s="1">
        <v>-24.990000000000002</v>
      </c>
      <c r="AL38" s="1">
        <v>-25.64</v>
      </c>
      <c r="AM38" s="1">
        <v>-25.75</v>
      </c>
      <c r="AN38" s="1">
        <v>-25.86</v>
      </c>
      <c r="AO38" s="1">
        <v>-25.97</v>
      </c>
      <c r="AP38" s="1">
        <v>-26.07</v>
      </c>
      <c r="AQ38" s="1">
        <v>-26.179999999999996</v>
      </c>
      <c r="AR38" s="1">
        <v>-26.28</v>
      </c>
      <c r="AS38" s="1">
        <v>-26.389999999999997</v>
      </c>
      <c r="AT38" s="1">
        <v>0</v>
      </c>
      <c r="AU38" s="1">
        <v>0</v>
      </c>
      <c r="AV38" s="1">
        <v>0</v>
      </c>
      <c r="AW38" s="1">
        <v>0</v>
      </c>
      <c r="AZ38" s="1">
        <v>1</v>
      </c>
      <c r="BA38" s="22">
        <f t="shared" si="0"/>
        <v>-26.389999999999997</v>
      </c>
    </row>
    <row r="39" spans="1:55" x14ac:dyDescent="0.2">
      <c r="A39" s="3" t="s">
        <v>235</v>
      </c>
      <c r="B39" s="3" t="s">
        <v>17</v>
      </c>
      <c r="C39" s="3" t="s">
        <v>245</v>
      </c>
      <c r="D39" s="3" t="s">
        <v>242</v>
      </c>
      <c r="E39" s="3">
        <v>0</v>
      </c>
      <c r="F39" s="3" t="s">
        <v>0</v>
      </c>
      <c r="G39" s="3" t="s">
        <v>0</v>
      </c>
      <c r="H39" s="3" t="s">
        <v>0</v>
      </c>
      <c r="I39" s="3" t="s">
        <v>0</v>
      </c>
      <c r="J39" s="3" t="s">
        <v>0</v>
      </c>
      <c r="K39" s="3" t="s">
        <v>0</v>
      </c>
      <c r="L39" s="4">
        <v>-1</v>
      </c>
      <c r="M39" s="3"/>
      <c r="BA39" s="22">
        <f t="shared" si="0"/>
        <v>0</v>
      </c>
    </row>
    <row r="40" spans="1:55" x14ac:dyDescent="0.2">
      <c r="A40" s="3" t="s">
        <v>235</v>
      </c>
      <c r="B40" s="3" t="s">
        <v>17</v>
      </c>
      <c r="C40" s="3" t="s">
        <v>244</v>
      </c>
      <c r="D40" s="3" t="s">
        <v>242</v>
      </c>
      <c r="E40" s="3">
        <v>0</v>
      </c>
      <c r="F40" s="3" t="s">
        <v>0</v>
      </c>
      <c r="G40" s="3" t="s">
        <v>0</v>
      </c>
      <c r="H40" s="3" t="s">
        <v>0</v>
      </c>
      <c r="I40" s="3" t="s">
        <v>0</v>
      </c>
      <c r="J40" s="3" t="s">
        <v>0</v>
      </c>
      <c r="K40" s="3" t="s">
        <v>0</v>
      </c>
      <c r="L40" s="4">
        <v>-1</v>
      </c>
      <c r="M40" s="3"/>
      <c r="BA40" s="22">
        <f t="shared" si="0"/>
        <v>0</v>
      </c>
    </row>
    <row r="41" spans="1:55" x14ac:dyDescent="0.2">
      <c r="A41" s="3" t="s">
        <v>235</v>
      </c>
      <c r="B41" s="3" t="s">
        <v>17</v>
      </c>
      <c r="C41" s="3" t="s">
        <v>243</v>
      </c>
      <c r="D41" s="3" t="s">
        <v>242</v>
      </c>
      <c r="E41" s="3">
        <v>0</v>
      </c>
      <c r="F41" s="3" t="s">
        <v>0</v>
      </c>
      <c r="G41" s="3" t="s">
        <v>0</v>
      </c>
      <c r="H41" s="3" t="s">
        <v>0</v>
      </c>
      <c r="I41" s="3" t="s">
        <v>0</v>
      </c>
      <c r="J41" s="3" t="s">
        <v>0</v>
      </c>
      <c r="K41" s="3" t="s">
        <v>0</v>
      </c>
      <c r="L41" s="4">
        <v>-1</v>
      </c>
      <c r="M41" s="3"/>
      <c r="BA41" s="22">
        <f t="shared" si="0"/>
        <v>0</v>
      </c>
    </row>
    <row r="42" spans="1:55" x14ac:dyDescent="0.2">
      <c r="A42" s="3" t="s">
        <v>235</v>
      </c>
      <c r="B42" s="3" t="s">
        <v>9</v>
      </c>
      <c r="C42" s="3" t="s">
        <v>253</v>
      </c>
      <c r="D42" s="3" t="s">
        <v>252</v>
      </c>
      <c r="E42" s="3">
        <v>0</v>
      </c>
      <c r="F42" s="3" t="s">
        <v>0</v>
      </c>
      <c r="G42" s="3" t="s">
        <v>0</v>
      </c>
      <c r="H42" s="3" t="s">
        <v>0</v>
      </c>
      <c r="I42" s="3" t="s">
        <v>0</v>
      </c>
      <c r="J42" s="3" t="s">
        <v>0</v>
      </c>
      <c r="K42" s="3" t="s">
        <v>0</v>
      </c>
      <c r="L42" s="4">
        <v>-1</v>
      </c>
      <c r="M42" s="3"/>
      <c r="BA42" s="22">
        <f t="shared" si="0"/>
        <v>0</v>
      </c>
    </row>
    <row r="43" spans="1:55" x14ac:dyDescent="0.2">
      <c r="A43" s="3" t="s">
        <v>4</v>
      </c>
      <c r="B43" s="3" t="s">
        <v>9</v>
      </c>
      <c r="C43" s="3" t="s">
        <v>11</v>
      </c>
      <c r="D43" s="3" t="s">
        <v>7</v>
      </c>
      <c r="E43" s="3">
        <v>0</v>
      </c>
      <c r="F43" s="3" t="s">
        <v>0</v>
      </c>
      <c r="G43" s="3" t="s">
        <v>0</v>
      </c>
      <c r="H43" s="3" t="s">
        <v>0</v>
      </c>
      <c r="I43" s="3" t="s">
        <v>0</v>
      </c>
      <c r="J43" s="3" t="s">
        <v>0</v>
      </c>
      <c r="K43" s="3" t="s">
        <v>0</v>
      </c>
      <c r="L43" s="4">
        <v>-1</v>
      </c>
      <c r="M43" s="3"/>
      <c r="BA43" s="22">
        <f t="shared" si="0"/>
        <v>0</v>
      </c>
    </row>
    <row r="44" spans="1:55" x14ac:dyDescent="0.2">
      <c r="A44" s="3" t="s">
        <v>4</v>
      </c>
      <c r="B44" s="3" t="s">
        <v>9</v>
      </c>
      <c r="C44" s="3" t="s">
        <v>10</v>
      </c>
      <c r="D44" s="3" t="s">
        <v>7</v>
      </c>
      <c r="E44" s="3">
        <v>0</v>
      </c>
      <c r="F44" s="3" t="s">
        <v>0</v>
      </c>
      <c r="G44" s="3" t="s">
        <v>0</v>
      </c>
      <c r="H44" s="3" t="s">
        <v>0</v>
      </c>
      <c r="I44" s="3" t="s">
        <v>0</v>
      </c>
      <c r="J44" s="3" t="s">
        <v>0</v>
      </c>
      <c r="K44" s="3" t="s">
        <v>0</v>
      </c>
      <c r="L44" s="4">
        <v>-1</v>
      </c>
      <c r="M44" s="3"/>
      <c r="BA44" s="22">
        <f t="shared" si="0"/>
        <v>0</v>
      </c>
    </row>
    <row r="45" spans="1:55" x14ac:dyDescent="0.2">
      <c r="A45" s="3" t="s">
        <v>4</v>
      </c>
      <c r="B45" s="3" t="s">
        <v>9</v>
      </c>
      <c r="C45" s="3" t="s">
        <v>8</v>
      </c>
      <c r="D45" s="3" t="s">
        <v>7</v>
      </c>
      <c r="E45" s="3">
        <v>0</v>
      </c>
      <c r="F45" s="3" t="s">
        <v>0</v>
      </c>
      <c r="G45" s="3" t="s">
        <v>0</v>
      </c>
      <c r="H45" s="3" t="s">
        <v>0</v>
      </c>
      <c r="I45" s="3" t="s">
        <v>0</v>
      </c>
      <c r="J45" s="3" t="s">
        <v>0</v>
      </c>
      <c r="K45" s="3" t="s">
        <v>0</v>
      </c>
      <c r="L45" s="4">
        <v>-1</v>
      </c>
      <c r="M45" s="3"/>
      <c r="BA45" s="22">
        <f t="shared" si="0"/>
        <v>0</v>
      </c>
    </row>
    <row r="46" spans="1:55" x14ac:dyDescent="0.2">
      <c r="A46" s="3" t="s">
        <v>4</v>
      </c>
      <c r="B46" s="3" t="s">
        <v>3</v>
      </c>
      <c r="C46" s="3" t="s">
        <v>6</v>
      </c>
      <c r="D46" s="3" t="s">
        <v>1</v>
      </c>
      <c r="E46" s="3">
        <v>0</v>
      </c>
      <c r="F46" s="3" t="s">
        <v>0</v>
      </c>
      <c r="G46" s="3" t="s">
        <v>0</v>
      </c>
      <c r="H46" s="3" t="s">
        <v>0</v>
      </c>
      <c r="I46" s="3" t="s">
        <v>0</v>
      </c>
      <c r="J46" s="3" t="s">
        <v>0</v>
      </c>
      <c r="K46" s="3" t="s">
        <v>0</v>
      </c>
      <c r="L46" s="4">
        <v>-1</v>
      </c>
      <c r="M46" s="3"/>
      <c r="BA46" s="22">
        <f t="shared" si="0"/>
        <v>0</v>
      </c>
    </row>
    <row r="47" spans="1:55" x14ac:dyDescent="0.2">
      <c r="A47" s="3" t="s">
        <v>4</v>
      </c>
      <c r="B47" s="3" t="s">
        <v>3</v>
      </c>
      <c r="C47" s="3" t="s">
        <v>5</v>
      </c>
      <c r="D47" s="3" t="s">
        <v>1</v>
      </c>
      <c r="E47" s="3">
        <v>0</v>
      </c>
      <c r="F47" s="3" t="s">
        <v>0</v>
      </c>
      <c r="G47" s="3" t="s">
        <v>0</v>
      </c>
      <c r="H47" s="3" t="s">
        <v>0</v>
      </c>
      <c r="I47" s="3" t="s">
        <v>0</v>
      </c>
      <c r="J47" s="3" t="s">
        <v>0</v>
      </c>
      <c r="K47" s="3" t="s">
        <v>0</v>
      </c>
      <c r="L47" s="4">
        <v>-1</v>
      </c>
      <c r="M47" s="3"/>
      <c r="BA47" s="22">
        <f t="shared" si="0"/>
        <v>0</v>
      </c>
    </row>
    <row r="48" spans="1:55" x14ac:dyDescent="0.2">
      <c r="A48" s="3" t="s">
        <v>4</v>
      </c>
      <c r="B48" s="3" t="s">
        <v>3</v>
      </c>
      <c r="C48" s="3" t="s">
        <v>2</v>
      </c>
      <c r="D48" s="3" t="s">
        <v>1</v>
      </c>
      <c r="E48" s="3">
        <v>0</v>
      </c>
      <c r="F48" s="3" t="s">
        <v>0</v>
      </c>
      <c r="G48" s="3" t="s">
        <v>0</v>
      </c>
      <c r="H48" s="3" t="s">
        <v>0</v>
      </c>
      <c r="I48" s="3" t="s">
        <v>0</v>
      </c>
      <c r="J48" s="3" t="s">
        <v>0</v>
      </c>
      <c r="K48" s="3" t="s">
        <v>0</v>
      </c>
      <c r="L48" s="4">
        <v>-1</v>
      </c>
      <c r="M48" s="3"/>
      <c r="BA48" s="22">
        <f t="shared" si="0"/>
        <v>0</v>
      </c>
    </row>
    <row r="49" spans="1:55" ht="16" x14ac:dyDescent="0.2">
      <c r="A49" s="3" t="s">
        <v>135</v>
      </c>
      <c r="B49" s="3" t="s">
        <v>163</v>
      </c>
      <c r="C49" s="3" t="s">
        <v>161</v>
      </c>
      <c r="D49" s="3" t="s">
        <v>162</v>
      </c>
      <c r="E49" s="3">
        <v>1</v>
      </c>
      <c r="F49" s="3" t="s">
        <v>18</v>
      </c>
      <c r="G49" s="3" t="s">
        <v>14</v>
      </c>
      <c r="H49" s="3" t="s">
        <v>112</v>
      </c>
      <c r="I49" s="6" t="s">
        <v>294</v>
      </c>
      <c r="J49" s="3" t="s">
        <v>299</v>
      </c>
      <c r="K49" s="3" t="s">
        <v>164</v>
      </c>
      <c r="L49" s="4" t="s">
        <v>170</v>
      </c>
      <c r="M49" s="3"/>
      <c r="N49" s="1">
        <v>584335.54990750516</v>
      </c>
      <c r="O49" s="1">
        <v>562362.19052904588</v>
      </c>
      <c r="P49" s="1">
        <v>588114.73610863287</v>
      </c>
      <c r="Q49" s="1">
        <v>658031.63061792392</v>
      </c>
      <c r="R49" s="1">
        <v>801976.23286808294</v>
      </c>
      <c r="S49" s="1">
        <v>1101888.8187145032</v>
      </c>
      <c r="T49" s="1">
        <v>1296293.1214817727</v>
      </c>
      <c r="U49" s="1">
        <v>1475690.9415213121</v>
      </c>
      <c r="V49" s="1">
        <v>1558190.9901482055</v>
      </c>
      <c r="W49" s="1">
        <v>1716561.1429608655</v>
      </c>
      <c r="X49" s="1">
        <v>1830768.4658799749</v>
      </c>
      <c r="Y49" s="1">
        <v>1919524.1804158245</v>
      </c>
      <c r="Z49" s="1">
        <v>1993241.9401442211</v>
      </c>
      <c r="AA49" s="1">
        <v>2062106.8894876195</v>
      </c>
      <c r="AB49" s="1">
        <v>2131247.7884454411</v>
      </c>
      <c r="AC49" s="1">
        <v>2183895.5003599948</v>
      </c>
      <c r="AD49" s="1">
        <v>2154940.5980773447</v>
      </c>
      <c r="AE49" s="1">
        <v>2268955.3894351674</v>
      </c>
      <c r="AF49" s="1">
        <v>2393059.3741533197</v>
      </c>
      <c r="AG49" s="1">
        <v>2835052.233389135</v>
      </c>
      <c r="AH49" s="1">
        <v>2946955.8921120795</v>
      </c>
      <c r="AI49" s="1">
        <v>3224869.3180157468</v>
      </c>
      <c r="AJ49" s="1">
        <v>2703598.4581056968</v>
      </c>
      <c r="AK49" s="1">
        <v>2695325.446467658</v>
      </c>
      <c r="AL49" s="1">
        <v>2767432.4470844641</v>
      </c>
      <c r="AM49" s="1">
        <v>2865173.6314510084</v>
      </c>
      <c r="AN49" s="1">
        <v>2906765.4930086778</v>
      </c>
      <c r="AO49" s="1">
        <v>2991855.9508756003</v>
      </c>
      <c r="AP49" s="1">
        <v>3005162.6701664608</v>
      </c>
      <c r="AQ49" s="1">
        <v>2913279.0722259032</v>
      </c>
      <c r="AR49" s="1">
        <v>3334606.895608163</v>
      </c>
      <c r="AS49" s="1">
        <v>3442740.7780074785</v>
      </c>
      <c r="AT49" s="1">
        <v>0</v>
      </c>
      <c r="AU49" s="1">
        <v>0</v>
      </c>
      <c r="AV49" s="1">
        <v>0</v>
      </c>
      <c r="AW49" s="1">
        <v>0</v>
      </c>
      <c r="AZ49" s="1">
        <f t="shared" ref="AZ49:AZ54" si="1">1/1000000</f>
        <v>9.9999999999999995E-7</v>
      </c>
      <c r="BA49" s="24">
        <f t="shared" si="0"/>
        <v>3.4427407780074781</v>
      </c>
      <c r="BC49" s="1">
        <f>+BA49/25</f>
        <v>0.13770963112029913</v>
      </c>
    </row>
    <row r="50" spans="1:55" ht="16" x14ac:dyDescent="0.2">
      <c r="A50" s="3" t="s">
        <v>135</v>
      </c>
      <c r="B50" s="3" t="s">
        <v>9</v>
      </c>
      <c r="C50" s="3" t="s">
        <v>136</v>
      </c>
      <c r="D50" s="3" t="s">
        <v>137</v>
      </c>
      <c r="E50" s="3">
        <v>1</v>
      </c>
      <c r="F50" s="3" t="s">
        <v>18</v>
      </c>
      <c r="G50" s="3" t="s">
        <v>14</v>
      </c>
      <c r="H50" s="3" t="s">
        <v>112</v>
      </c>
      <c r="I50" s="6" t="s">
        <v>294</v>
      </c>
      <c r="J50" s="3" t="s">
        <v>113</v>
      </c>
      <c r="K50" s="7" t="s">
        <v>138</v>
      </c>
      <c r="L50" s="4">
        <v>5</v>
      </c>
      <c r="M50" s="3"/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Z50" s="1">
        <f t="shared" si="1"/>
        <v>9.9999999999999995E-7</v>
      </c>
      <c r="BA50" s="22">
        <f t="shared" si="0"/>
        <v>0</v>
      </c>
      <c r="BC50" s="21">
        <f>+BA50+BA51+BA52+BA53+BA59+BA60+BA61+BA62+BA63+BA64+BA65+BA66</f>
        <v>0.97743437520496412</v>
      </c>
    </row>
    <row r="51" spans="1:55" ht="16" x14ac:dyDescent="0.2">
      <c r="A51" s="3" t="s">
        <v>135</v>
      </c>
      <c r="B51" s="3" t="s">
        <v>9</v>
      </c>
      <c r="C51" s="3" t="s">
        <v>143</v>
      </c>
      <c r="D51" s="3" t="s">
        <v>137</v>
      </c>
      <c r="E51" s="3">
        <v>1</v>
      </c>
      <c r="F51" s="3" t="s">
        <v>18</v>
      </c>
      <c r="G51" s="3" t="s">
        <v>14</v>
      </c>
      <c r="H51" s="3" t="s">
        <v>112</v>
      </c>
      <c r="I51" s="6" t="s">
        <v>294</v>
      </c>
      <c r="J51" s="3" t="s">
        <v>113</v>
      </c>
      <c r="K51" s="7" t="s">
        <v>144</v>
      </c>
      <c r="L51" s="4">
        <v>8</v>
      </c>
      <c r="M51" s="3"/>
      <c r="N51" s="1">
        <v>45814.9132265441</v>
      </c>
      <c r="O51" s="1">
        <v>43809.854630404014</v>
      </c>
      <c r="P51" s="1">
        <v>43463.384371789107</v>
      </c>
      <c r="Q51" s="1">
        <v>43363.464505431984</v>
      </c>
      <c r="R51" s="1">
        <v>42916.794111532668</v>
      </c>
      <c r="S51" s="1">
        <v>44324.551658515527</v>
      </c>
      <c r="T51" s="1">
        <v>43338.716159257849</v>
      </c>
      <c r="U51" s="1">
        <v>43640.695122351011</v>
      </c>
      <c r="V51" s="1">
        <v>43788.287419497661</v>
      </c>
      <c r="W51" s="1">
        <v>42647.27940813703</v>
      </c>
      <c r="X51" s="1">
        <v>42047.238357512833</v>
      </c>
      <c r="Y51" s="1">
        <v>41591.734093455903</v>
      </c>
      <c r="Z51" s="1">
        <v>41708.583868028894</v>
      </c>
      <c r="AA51" s="1">
        <v>40543.879590048993</v>
      </c>
      <c r="AB51" s="1">
        <v>40370.142359548423</v>
      </c>
      <c r="AC51" s="1">
        <v>39809.161583779598</v>
      </c>
      <c r="AD51" s="1">
        <v>36534.377948925059</v>
      </c>
      <c r="AE51" s="1">
        <v>35813.223658513576</v>
      </c>
      <c r="AF51" s="1">
        <v>34485.578639958941</v>
      </c>
      <c r="AG51" s="1">
        <v>30484.765672762289</v>
      </c>
      <c r="AH51" s="1">
        <v>32180.920395175279</v>
      </c>
      <c r="AI51" s="1">
        <v>31347.244304584936</v>
      </c>
      <c r="AJ51" s="1">
        <v>30819.108695683481</v>
      </c>
      <c r="AK51" s="1">
        <v>31063.382265263743</v>
      </c>
      <c r="AL51" s="1">
        <v>31271.832309985894</v>
      </c>
      <c r="AM51" s="1">
        <v>30084.144913605356</v>
      </c>
      <c r="AN51" s="1">
        <v>30776.563750117988</v>
      </c>
      <c r="AO51" s="1">
        <v>29291.484547769687</v>
      </c>
      <c r="AP51" s="1">
        <v>28760.36597545931</v>
      </c>
      <c r="AQ51" s="1">
        <v>27773.430385667558</v>
      </c>
      <c r="AR51" s="1">
        <v>25853.027832669501</v>
      </c>
      <c r="AS51" s="1">
        <v>26851.186427812911</v>
      </c>
      <c r="AT51" s="1">
        <v>0</v>
      </c>
      <c r="AU51" s="1">
        <v>0</v>
      </c>
      <c r="AV51" s="1">
        <v>0</v>
      </c>
      <c r="AW51" s="1">
        <v>0</v>
      </c>
      <c r="AZ51" s="1">
        <f t="shared" si="1"/>
        <v>9.9999999999999995E-7</v>
      </c>
      <c r="BA51" s="22">
        <f t="shared" si="0"/>
        <v>2.6851186427812909E-2</v>
      </c>
    </row>
    <row r="52" spans="1:55" ht="16" x14ac:dyDescent="0.2">
      <c r="A52" s="3" t="s">
        <v>135</v>
      </c>
      <c r="B52" s="3" t="s">
        <v>9</v>
      </c>
      <c r="C52" s="3" t="s">
        <v>141</v>
      </c>
      <c r="D52" s="3" t="s">
        <v>137</v>
      </c>
      <c r="E52" s="3">
        <v>1</v>
      </c>
      <c r="F52" s="3" t="s">
        <v>18</v>
      </c>
      <c r="G52" s="3" t="s">
        <v>14</v>
      </c>
      <c r="H52" s="3" t="s">
        <v>112</v>
      </c>
      <c r="I52" s="6" t="s">
        <v>294</v>
      </c>
      <c r="J52" s="3" t="s">
        <v>113</v>
      </c>
      <c r="K52" s="7" t="s">
        <v>142</v>
      </c>
      <c r="L52" s="4">
        <v>6</v>
      </c>
      <c r="M52" s="3"/>
      <c r="N52" s="1">
        <v>59063.735968548943</v>
      </c>
      <c r="O52" s="1">
        <v>0</v>
      </c>
      <c r="P52" s="1">
        <v>0</v>
      </c>
      <c r="Q52" s="1">
        <v>84888.618842455035</v>
      </c>
      <c r="R52" s="1">
        <v>76384.29939562676</v>
      </c>
      <c r="S52" s="1">
        <v>86407.97132396551</v>
      </c>
      <c r="T52" s="1">
        <v>78683.651952622982</v>
      </c>
      <c r="U52" s="1">
        <v>86428.28917431194</v>
      </c>
      <c r="V52" s="1">
        <v>87046.680046693567</v>
      </c>
      <c r="W52" s="1">
        <v>84155.783632751292</v>
      </c>
      <c r="X52" s="1">
        <v>77987.943380076293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119298.23099819687</v>
      </c>
      <c r="AH52" s="1">
        <v>138598.40740488668</v>
      </c>
      <c r="AI52" s="1">
        <v>113705.06674173135</v>
      </c>
      <c r="AJ52" s="1">
        <v>115733.14197530293</v>
      </c>
      <c r="AK52" s="1">
        <v>121561.26488508632</v>
      </c>
      <c r="AL52" s="1">
        <v>126842.96329278803</v>
      </c>
      <c r="AM52" s="1">
        <v>120514.63287760036</v>
      </c>
      <c r="AN52" s="1">
        <v>125630.25221828093</v>
      </c>
      <c r="AO52" s="1">
        <v>121378.57152415204</v>
      </c>
      <c r="AP52" s="1">
        <v>124009.23952134697</v>
      </c>
      <c r="AQ52" s="1">
        <v>133057.87018074526</v>
      </c>
      <c r="AR52" s="1">
        <v>125252.0625503</v>
      </c>
      <c r="AS52" s="1">
        <v>133702.37170176086</v>
      </c>
      <c r="AT52" s="1">
        <v>0</v>
      </c>
      <c r="AU52" s="1">
        <v>0</v>
      </c>
      <c r="AV52" s="1">
        <v>0</v>
      </c>
      <c r="AW52" s="1">
        <v>0</v>
      </c>
      <c r="AZ52" s="1">
        <f t="shared" si="1"/>
        <v>9.9999999999999995E-7</v>
      </c>
      <c r="BA52" s="22">
        <f t="shared" si="0"/>
        <v>0.13370237170176086</v>
      </c>
    </row>
    <row r="53" spans="1:55" ht="16" x14ac:dyDescent="0.2">
      <c r="A53" s="3" t="s">
        <v>135</v>
      </c>
      <c r="B53" s="3" t="s">
        <v>9</v>
      </c>
      <c r="C53" s="3" t="s">
        <v>139</v>
      </c>
      <c r="D53" s="3" t="s">
        <v>137</v>
      </c>
      <c r="E53" s="3">
        <v>1</v>
      </c>
      <c r="F53" s="3" t="s">
        <v>18</v>
      </c>
      <c r="G53" s="3" t="s">
        <v>14</v>
      </c>
      <c r="H53" s="3" t="s">
        <v>112</v>
      </c>
      <c r="I53" s="6" t="s">
        <v>294</v>
      </c>
      <c r="J53" s="3" t="s">
        <v>113</v>
      </c>
      <c r="K53" s="7" t="s">
        <v>300</v>
      </c>
      <c r="L53" s="4" t="s">
        <v>140</v>
      </c>
      <c r="M53" s="3"/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1088979.0706428718</v>
      </c>
      <c r="V53" s="1">
        <v>1102899.3221500285</v>
      </c>
      <c r="W53" s="1">
        <v>1031252.9313178399</v>
      </c>
      <c r="X53" s="1">
        <v>1146848.2118774732</v>
      </c>
      <c r="Y53" s="1">
        <v>1218092.6477045787</v>
      </c>
      <c r="Z53" s="1">
        <v>1229027.3017293958</v>
      </c>
      <c r="AA53" s="1">
        <v>1326528.0549164808</v>
      </c>
      <c r="AB53" s="1">
        <v>1235448.9502893619</v>
      </c>
      <c r="AC53" s="1">
        <v>1034106.6429754354</v>
      </c>
      <c r="AD53" s="1">
        <v>1020908.5113596168</v>
      </c>
      <c r="AE53" s="1">
        <v>1051505.306830043</v>
      </c>
      <c r="AF53" s="1">
        <v>923684.00622727466</v>
      </c>
      <c r="AG53" s="1">
        <v>555636.45347059402</v>
      </c>
      <c r="AH53" s="1">
        <v>816880.81707539049</v>
      </c>
      <c r="AI53" s="1">
        <v>816880.81707539049</v>
      </c>
      <c r="AJ53" s="1">
        <v>816880.81707539049</v>
      </c>
      <c r="AK53" s="1">
        <v>816880.81707539049</v>
      </c>
      <c r="AL53" s="1">
        <v>816880.81707539049</v>
      </c>
      <c r="AM53" s="1">
        <v>816880.81707539049</v>
      </c>
      <c r="AN53" s="1">
        <v>816880.81707539049</v>
      </c>
      <c r="AO53" s="1">
        <v>816880.81707539049</v>
      </c>
      <c r="AP53" s="1">
        <v>816880.81707539049</v>
      </c>
      <c r="AQ53" s="1">
        <v>816880.81707539049</v>
      </c>
      <c r="AR53" s="1">
        <v>816880.81707539049</v>
      </c>
      <c r="AS53" s="1">
        <v>816880.81707539049</v>
      </c>
      <c r="AT53" s="1">
        <v>0</v>
      </c>
      <c r="AU53" s="1">
        <v>0</v>
      </c>
      <c r="AV53" s="1">
        <v>0</v>
      </c>
      <c r="AW53" s="1">
        <v>0</v>
      </c>
      <c r="AZ53" s="1">
        <f t="shared" si="1"/>
        <v>9.9999999999999995E-7</v>
      </c>
      <c r="BA53" s="22">
        <f t="shared" si="0"/>
        <v>0.8168808170753904</v>
      </c>
    </row>
    <row r="54" spans="1:55" ht="16" x14ac:dyDescent="0.2">
      <c r="A54" s="3" t="s">
        <v>135</v>
      </c>
      <c r="B54" s="3" t="s">
        <v>3</v>
      </c>
      <c r="C54" s="3" t="s">
        <v>145</v>
      </c>
      <c r="D54" s="3" t="s">
        <v>146</v>
      </c>
      <c r="E54" s="3">
        <v>1</v>
      </c>
      <c r="F54" s="3" t="s">
        <v>18</v>
      </c>
      <c r="G54" s="3" t="s">
        <v>14</v>
      </c>
      <c r="H54" s="3" t="s">
        <v>112</v>
      </c>
      <c r="I54" s="6" t="s">
        <v>294</v>
      </c>
      <c r="J54" s="3" t="s">
        <v>113</v>
      </c>
      <c r="K54" s="7" t="s">
        <v>147</v>
      </c>
      <c r="L54" s="4" t="s">
        <v>148</v>
      </c>
      <c r="M54" s="3"/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Z54" s="1">
        <f t="shared" si="1"/>
        <v>9.9999999999999995E-7</v>
      </c>
      <c r="BA54" s="22">
        <f t="shared" si="0"/>
        <v>0</v>
      </c>
    </row>
    <row r="55" spans="1:55" x14ac:dyDescent="0.2">
      <c r="A55" s="3" t="s">
        <v>135</v>
      </c>
      <c r="B55" s="3" t="s">
        <v>17</v>
      </c>
      <c r="C55" s="3" t="s">
        <v>165</v>
      </c>
      <c r="D55" s="3" t="s">
        <v>166</v>
      </c>
      <c r="E55" s="3">
        <v>0</v>
      </c>
      <c r="F55" s="3" t="s">
        <v>0</v>
      </c>
      <c r="G55" s="3" t="s">
        <v>0</v>
      </c>
      <c r="H55" s="3" t="s">
        <v>0</v>
      </c>
      <c r="I55" s="3" t="s">
        <v>0</v>
      </c>
      <c r="J55" s="3" t="s">
        <v>0</v>
      </c>
      <c r="K55" s="3" t="s">
        <v>0</v>
      </c>
      <c r="L55" s="4">
        <v>-1</v>
      </c>
      <c r="M55" s="3"/>
      <c r="BA55" s="22">
        <f t="shared" si="0"/>
        <v>0</v>
      </c>
    </row>
    <row r="56" spans="1:55" x14ac:dyDescent="0.2">
      <c r="A56" s="3" t="s">
        <v>135</v>
      </c>
      <c r="B56" s="3" t="s">
        <v>17</v>
      </c>
      <c r="C56" s="3" t="s">
        <v>167</v>
      </c>
      <c r="D56" s="3" t="s">
        <v>166</v>
      </c>
      <c r="E56" s="3">
        <v>0</v>
      </c>
      <c r="F56" s="3" t="s">
        <v>0</v>
      </c>
      <c r="G56" s="3" t="s">
        <v>0</v>
      </c>
      <c r="H56" s="3" t="s">
        <v>0</v>
      </c>
      <c r="I56" s="3" t="s">
        <v>0</v>
      </c>
      <c r="J56" s="3" t="s">
        <v>0</v>
      </c>
      <c r="K56" s="3" t="s">
        <v>0</v>
      </c>
      <c r="L56" s="4">
        <v>-1</v>
      </c>
      <c r="M56" s="3"/>
      <c r="BA56" s="22">
        <f t="shared" si="0"/>
        <v>0</v>
      </c>
    </row>
    <row r="57" spans="1:55" x14ac:dyDescent="0.2">
      <c r="A57" s="3" t="s">
        <v>135</v>
      </c>
      <c r="B57" s="3" t="s">
        <v>17</v>
      </c>
      <c r="C57" s="3" t="s">
        <v>168</v>
      </c>
      <c r="D57" s="3" t="s">
        <v>166</v>
      </c>
      <c r="E57" s="3">
        <v>0</v>
      </c>
      <c r="F57" s="3" t="s">
        <v>0</v>
      </c>
      <c r="G57" s="3" t="s">
        <v>0</v>
      </c>
      <c r="H57" s="3" t="s">
        <v>0</v>
      </c>
      <c r="I57" s="3" t="s">
        <v>0</v>
      </c>
      <c r="J57" s="3" t="s">
        <v>0</v>
      </c>
      <c r="K57" s="3" t="s">
        <v>0</v>
      </c>
      <c r="L57" s="4">
        <v>-1</v>
      </c>
      <c r="M57" s="3"/>
      <c r="BA57" s="22">
        <f t="shared" si="0"/>
        <v>0</v>
      </c>
    </row>
    <row r="58" spans="1:55" x14ac:dyDescent="0.2">
      <c r="A58" s="3" t="s">
        <v>135</v>
      </c>
      <c r="B58" s="3" t="s">
        <v>17</v>
      </c>
      <c r="C58" s="3" t="s">
        <v>169</v>
      </c>
      <c r="D58" s="3" t="s">
        <v>166</v>
      </c>
      <c r="E58" s="3">
        <v>0</v>
      </c>
      <c r="F58" s="3" t="s">
        <v>0</v>
      </c>
      <c r="G58" s="3" t="s">
        <v>0</v>
      </c>
      <c r="H58" s="3" t="s">
        <v>0</v>
      </c>
      <c r="I58" s="3" t="s">
        <v>0</v>
      </c>
      <c r="J58" s="3" t="s">
        <v>0</v>
      </c>
      <c r="K58" s="3" t="s">
        <v>0</v>
      </c>
      <c r="L58" s="4">
        <v>-1</v>
      </c>
      <c r="M58" s="3"/>
      <c r="BA58" s="22">
        <f t="shared" si="0"/>
        <v>0</v>
      </c>
    </row>
    <row r="59" spans="1:55" x14ac:dyDescent="0.2">
      <c r="A59" s="3" t="s">
        <v>135</v>
      </c>
      <c r="B59" s="3" t="s">
        <v>9</v>
      </c>
      <c r="C59" s="3" t="s">
        <v>149</v>
      </c>
      <c r="D59" s="3" t="s">
        <v>150</v>
      </c>
      <c r="E59" s="3">
        <v>0</v>
      </c>
      <c r="F59" s="3" t="s">
        <v>0</v>
      </c>
      <c r="G59" s="3" t="s">
        <v>0</v>
      </c>
      <c r="H59" s="3" t="s">
        <v>0</v>
      </c>
      <c r="I59" s="3" t="s">
        <v>0</v>
      </c>
      <c r="J59" s="3" t="s">
        <v>0</v>
      </c>
      <c r="K59" s="3" t="s">
        <v>0</v>
      </c>
      <c r="L59" s="4">
        <v>-1</v>
      </c>
      <c r="M59" s="3"/>
      <c r="BA59" s="22">
        <f t="shared" si="0"/>
        <v>0</v>
      </c>
    </row>
    <row r="60" spans="1:55" x14ac:dyDescent="0.2">
      <c r="A60" s="3" t="s">
        <v>135</v>
      </c>
      <c r="B60" s="3" t="s">
        <v>9</v>
      </c>
      <c r="C60" s="3" t="s">
        <v>151</v>
      </c>
      <c r="D60" s="3" t="s">
        <v>150</v>
      </c>
      <c r="E60" s="3">
        <v>0</v>
      </c>
      <c r="F60" s="3" t="s">
        <v>0</v>
      </c>
      <c r="G60" s="3" t="s">
        <v>0</v>
      </c>
      <c r="H60" s="3" t="s">
        <v>0</v>
      </c>
      <c r="I60" s="3" t="s">
        <v>0</v>
      </c>
      <c r="J60" s="3" t="s">
        <v>0</v>
      </c>
      <c r="K60" s="3" t="s">
        <v>0</v>
      </c>
      <c r="L60" s="4">
        <v>-1</v>
      </c>
      <c r="M60" s="3"/>
      <c r="BA60" s="22">
        <f t="shared" si="0"/>
        <v>0</v>
      </c>
    </row>
    <row r="61" spans="1:55" x14ac:dyDescent="0.2">
      <c r="A61" s="3" t="s">
        <v>135</v>
      </c>
      <c r="B61" s="3" t="s">
        <v>9</v>
      </c>
      <c r="C61" s="3" t="s">
        <v>152</v>
      </c>
      <c r="D61" s="3" t="s">
        <v>150</v>
      </c>
      <c r="E61" s="3">
        <v>0</v>
      </c>
      <c r="F61" s="3" t="s">
        <v>0</v>
      </c>
      <c r="G61" s="3" t="s">
        <v>0</v>
      </c>
      <c r="H61" s="3" t="s">
        <v>0</v>
      </c>
      <c r="I61" s="3" t="s">
        <v>0</v>
      </c>
      <c r="J61" s="3" t="s">
        <v>0</v>
      </c>
      <c r="K61" s="3" t="s">
        <v>0</v>
      </c>
      <c r="L61" s="4">
        <v>-1</v>
      </c>
      <c r="M61" s="3"/>
      <c r="BA61" s="22">
        <f t="shared" si="0"/>
        <v>0</v>
      </c>
    </row>
    <row r="62" spans="1:55" x14ac:dyDescent="0.2">
      <c r="A62" s="3" t="s">
        <v>135</v>
      </c>
      <c r="B62" s="3" t="s">
        <v>9</v>
      </c>
      <c r="C62" s="3" t="s">
        <v>153</v>
      </c>
      <c r="D62" s="3" t="s">
        <v>137</v>
      </c>
      <c r="E62" s="3">
        <v>0</v>
      </c>
      <c r="F62" s="3" t="s">
        <v>0</v>
      </c>
      <c r="G62" s="3" t="s">
        <v>0</v>
      </c>
      <c r="H62" s="3" t="s">
        <v>0</v>
      </c>
      <c r="I62" s="3" t="s">
        <v>0</v>
      </c>
      <c r="J62" s="3" t="s">
        <v>0</v>
      </c>
      <c r="K62" s="3" t="s">
        <v>0</v>
      </c>
      <c r="L62" s="4">
        <v>-1</v>
      </c>
      <c r="M62" s="3"/>
      <c r="BA62" s="22">
        <f t="shared" si="0"/>
        <v>0</v>
      </c>
    </row>
    <row r="63" spans="1:55" x14ac:dyDescent="0.2">
      <c r="A63" s="3" t="s">
        <v>135</v>
      </c>
      <c r="B63" s="3" t="s">
        <v>9</v>
      </c>
      <c r="C63" s="3" t="s">
        <v>154</v>
      </c>
      <c r="D63" s="3" t="s">
        <v>137</v>
      </c>
      <c r="E63" s="3">
        <v>0</v>
      </c>
      <c r="F63" s="3" t="s">
        <v>0</v>
      </c>
      <c r="G63" s="3" t="s">
        <v>0</v>
      </c>
      <c r="H63" s="3" t="s">
        <v>0</v>
      </c>
      <c r="I63" s="3" t="s">
        <v>0</v>
      </c>
      <c r="J63" s="3" t="s">
        <v>0</v>
      </c>
      <c r="K63" s="3" t="s">
        <v>0</v>
      </c>
      <c r="L63" s="4">
        <v>-1</v>
      </c>
      <c r="M63" s="3"/>
      <c r="BA63" s="22">
        <f t="shared" si="0"/>
        <v>0</v>
      </c>
    </row>
    <row r="64" spans="1:55" x14ac:dyDescent="0.2">
      <c r="A64" s="3" t="s">
        <v>135</v>
      </c>
      <c r="B64" s="3" t="s">
        <v>9</v>
      </c>
      <c r="C64" s="3" t="s">
        <v>155</v>
      </c>
      <c r="D64" s="3" t="s">
        <v>137</v>
      </c>
      <c r="E64" s="3">
        <v>0</v>
      </c>
      <c r="F64" s="3" t="s">
        <v>0</v>
      </c>
      <c r="G64" s="3" t="s">
        <v>0</v>
      </c>
      <c r="H64" s="3" t="s">
        <v>0</v>
      </c>
      <c r="I64" s="3" t="s">
        <v>0</v>
      </c>
      <c r="J64" s="3" t="s">
        <v>0</v>
      </c>
      <c r="K64" s="3" t="s">
        <v>0</v>
      </c>
      <c r="L64" s="4">
        <v>-1</v>
      </c>
      <c r="M64" s="3"/>
      <c r="BA64" s="22">
        <f t="shared" si="0"/>
        <v>0</v>
      </c>
    </row>
    <row r="65" spans="1:55" x14ac:dyDescent="0.2">
      <c r="A65" s="3" t="s">
        <v>135</v>
      </c>
      <c r="B65" s="3" t="s">
        <v>9</v>
      </c>
      <c r="C65" s="3" t="s">
        <v>156</v>
      </c>
      <c r="D65" s="3" t="s">
        <v>137</v>
      </c>
      <c r="E65" s="3">
        <v>0</v>
      </c>
      <c r="F65" s="3" t="s">
        <v>0</v>
      </c>
      <c r="G65" s="3" t="s">
        <v>0</v>
      </c>
      <c r="H65" s="3" t="s">
        <v>0</v>
      </c>
      <c r="I65" s="3" t="s">
        <v>0</v>
      </c>
      <c r="J65" s="3" t="s">
        <v>0</v>
      </c>
      <c r="K65" s="3" t="s">
        <v>0</v>
      </c>
      <c r="L65" s="4">
        <v>-1</v>
      </c>
      <c r="M65" s="3"/>
      <c r="BA65" s="22">
        <f t="shared" si="0"/>
        <v>0</v>
      </c>
    </row>
    <row r="66" spans="1:55" x14ac:dyDescent="0.2">
      <c r="A66" s="3" t="s">
        <v>135</v>
      </c>
      <c r="B66" s="3" t="s">
        <v>9</v>
      </c>
      <c r="C66" s="3" t="s">
        <v>157</v>
      </c>
      <c r="D66" s="3" t="s">
        <v>137</v>
      </c>
      <c r="E66" s="3">
        <v>0</v>
      </c>
      <c r="F66" s="3" t="s">
        <v>0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0</v>
      </c>
      <c r="L66" s="4">
        <v>-1</v>
      </c>
      <c r="M66" s="3"/>
      <c r="BA66" s="22">
        <f t="shared" si="0"/>
        <v>0</v>
      </c>
    </row>
    <row r="67" spans="1:55" x14ac:dyDescent="0.2">
      <c r="A67" s="3" t="s">
        <v>135</v>
      </c>
      <c r="B67" s="3" t="s">
        <v>3</v>
      </c>
      <c r="C67" s="3" t="s">
        <v>158</v>
      </c>
      <c r="D67" s="3" t="s">
        <v>146</v>
      </c>
      <c r="E67" s="3">
        <v>0</v>
      </c>
      <c r="F67" s="3" t="s">
        <v>0</v>
      </c>
      <c r="G67" s="3" t="s">
        <v>0</v>
      </c>
      <c r="H67" s="3" t="s">
        <v>0</v>
      </c>
      <c r="I67" s="3" t="s">
        <v>0</v>
      </c>
      <c r="J67" s="3" t="s">
        <v>0</v>
      </c>
      <c r="K67" s="3" t="s">
        <v>0</v>
      </c>
      <c r="L67" s="4">
        <v>-1</v>
      </c>
      <c r="M67" s="3"/>
      <c r="BA67" s="22">
        <f t="shared" ref="BA67:BA112" si="2">+AZ67*AS67</f>
        <v>0</v>
      </c>
    </row>
    <row r="68" spans="1:55" x14ac:dyDescent="0.2">
      <c r="A68" s="3" t="s">
        <v>135</v>
      </c>
      <c r="B68" s="3" t="s">
        <v>3</v>
      </c>
      <c r="C68" s="3" t="s">
        <v>159</v>
      </c>
      <c r="D68" s="3" t="s">
        <v>146</v>
      </c>
      <c r="E68" s="3">
        <v>0</v>
      </c>
      <c r="F68" s="3" t="s">
        <v>0</v>
      </c>
      <c r="G68" s="3" t="s">
        <v>0</v>
      </c>
      <c r="H68" s="3" t="s">
        <v>0</v>
      </c>
      <c r="I68" s="3" t="s">
        <v>0</v>
      </c>
      <c r="J68" s="3" t="s">
        <v>0</v>
      </c>
      <c r="K68" s="3" t="s">
        <v>0</v>
      </c>
      <c r="L68" s="4">
        <v>-1</v>
      </c>
      <c r="M68" s="3"/>
      <c r="BA68" s="22">
        <f t="shared" si="2"/>
        <v>0</v>
      </c>
    </row>
    <row r="69" spans="1:55" x14ac:dyDescent="0.2">
      <c r="A69" s="3" t="s">
        <v>135</v>
      </c>
      <c r="B69" s="3" t="s">
        <v>3</v>
      </c>
      <c r="C69" s="3" t="s">
        <v>160</v>
      </c>
      <c r="D69" s="3" t="s">
        <v>146</v>
      </c>
      <c r="E69" s="3">
        <v>0</v>
      </c>
      <c r="F69" s="3" t="s">
        <v>0</v>
      </c>
      <c r="G69" s="3" t="s">
        <v>0</v>
      </c>
      <c r="H69" s="3" t="s">
        <v>0</v>
      </c>
      <c r="I69" s="3" t="s">
        <v>0</v>
      </c>
      <c r="J69" s="3" t="s">
        <v>0</v>
      </c>
      <c r="K69" s="3" t="s">
        <v>0</v>
      </c>
      <c r="L69" s="4">
        <v>-1</v>
      </c>
      <c r="M69" s="3"/>
      <c r="BA69" s="22">
        <f t="shared" si="2"/>
        <v>0</v>
      </c>
    </row>
    <row r="70" spans="1:55" ht="16" x14ac:dyDescent="0.2">
      <c r="A70" s="3" t="s">
        <v>249</v>
      </c>
      <c r="B70" s="3" t="s">
        <v>9</v>
      </c>
      <c r="C70" s="3" t="s">
        <v>248</v>
      </c>
      <c r="D70" s="3" t="s">
        <v>250</v>
      </c>
      <c r="E70" s="3">
        <v>1</v>
      </c>
      <c r="F70" s="3" t="s">
        <v>15</v>
      </c>
      <c r="G70" s="3" t="s">
        <v>14</v>
      </c>
      <c r="H70" s="3" t="s">
        <v>237</v>
      </c>
      <c r="I70" s="3" t="s">
        <v>298</v>
      </c>
      <c r="J70" s="3" t="s">
        <v>251</v>
      </c>
      <c r="K70" s="9"/>
      <c r="L70" s="4">
        <v>40</v>
      </c>
      <c r="M70" s="3"/>
      <c r="N70" s="1">
        <v>-1.3721827276666663</v>
      </c>
      <c r="O70" s="1">
        <v>-1.3971827691433332</v>
      </c>
      <c r="P70" s="1">
        <v>-1.4221828106199996</v>
      </c>
      <c r="Q70" s="1">
        <v>-1.4471828520966663</v>
      </c>
      <c r="R70" s="1">
        <v>-1.472182893573333</v>
      </c>
      <c r="S70" s="1">
        <v>-1.4971829350499997</v>
      </c>
      <c r="T70" s="1">
        <v>-1.5221829765266661</v>
      </c>
      <c r="U70" s="1">
        <v>-1.5471830180033328</v>
      </c>
      <c r="V70" s="1">
        <v>-1.5721830594799995</v>
      </c>
      <c r="W70" s="1">
        <v>-1.5971831009566664</v>
      </c>
      <c r="X70" s="1">
        <v>-1.6221831424333331</v>
      </c>
      <c r="Y70" s="1">
        <v>-1.6515986664235371</v>
      </c>
      <c r="Z70" s="1">
        <v>-1.6810141904137414</v>
      </c>
      <c r="AA70" s="1">
        <v>-1.710429714403946</v>
      </c>
      <c r="AB70" s="1">
        <v>-1.7398452383941501</v>
      </c>
      <c r="AC70" s="1">
        <v>-1.7692607623843544</v>
      </c>
      <c r="AD70" s="1">
        <v>-1.7986762863745585</v>
      </c>
      <c r="AE70" s="1">
        <v>-1.8280918103647628</v>
      </c>
      <c r="AF70" s="1">
        <v>-1.8575073343549673</v>
      </c>
      <c r="AG70" s="1">
        <v>-1.8869228583451712</v>
      </c>
      <c r="AH70" s="1">
        <v>-1.9163383823353759</v>
      </c>
      <c r="AI70" s="1">
        <v>-1.9457539063255824</v>
      </c>
      <c r="AJ70" s="1">
        <v>-1.9751694303157841</v>
      </c>
      <c r="AK70" s="1">
        <v>-2.0045849543059857</v>
      </c>
      <c r="AL70" s="1">
        <v>-2.0340004782961874</v>
      </c>
      <c r="AM70" s="1">
        <v>-2.0634160022863992</v>
      </c>
      <c r="AN70" s="1">
        <v>-2.0928315262766009</v>
      </c>
      <c r="AO70" s="1">
        <v>-2.1222470502668025</v>
      </c>
      <c r="AP70" s="1">
        <v>-2.1516625742570041</v>
      </c>
      <c r="AQ70" s="1">
        <v>-2.1810780982472164</v>
      </c>
      <c r="AR70" s="1">
        <v>-1.8999959548942418</v>
      </c>
      <c r="AS70" s="1">
        <v>-2.1270009035573754</v>
      </c>
      <c r="AT70" s="1">
        <v>0</v>
      </c>
      <c r="AU70" s="1">
        <v>0</v>
      </c>
      <c r="AV70" s="1">
        <v>0</v>
      </c>
      <c r="AW70" s="1">
        <v>0</v>
      </c>
      <c r="AZ70" s="1">
        <v>1</v>
      </c>
      <c r="BA70" s="22">
        <f t="shared" si="2"/>
        <v>-2.1270009035573754</v>
      </c>
    </row>
    <row r="71" spans="1:55" ht="16" x14ac:dyDescent="0.2">
      <c r="A71" s="3" t="s">
        <v>249</v>
      </c>
      <c r="B71" s="3" t="s">
        <v>9</v>
      </c>
      <c r="C71" s="3" t="s">
        <v>260</v>
      </c>
      <c r="D71" s="3" t="s">
        <v>257</v>
      </c>
      <c r="E71" s="3">
        <v>1</v>
      </c>
      <c r="F71" s="3" t="s">
        <v>15</v>
      </c>
      <c r="G71" s="3" t="s">
        <v>14</v>
      </c>
      <c r="H71" s="3" t="s">
        <v>237</v>
      </c>
      <c r="I71" s="3" t="s">
        <v>298</v>
      </c>
      <c r="J71" s="7" t="s">
        <v>261</v>
      </c>
      <c r="K71" s="9" t="s">
        <v>239</v>
      </c>
      <c r="L71" s="4" t="s">
        <v>262</v>
      </c>
      <c r="M71" s="3"/>
      <c r="N71" s="1">
        <v>1.75</v>
      </c>
      <c r="O71" s="1">
        <v>1.76</v>
      </c>
      <c r="P71" s="1">
        <v>1.76</v>
      </c>
      <c r="Q71" s="1">
        <v>1.77</v>
      </c>
      <c r="R71" s="1">
        <v>1.78</v>
      </c>
      <c r="S71" s="1">
        <v>1.79</v>
      </c>
      <c r="T71" s="1">
        <v>1.8</v>
      </c>
      <c r="U71" s="1">
        <v>1.82</v>
      </c>
      <c r="V71" s="1">
        <v>1.82</v>
      </c>
      <c r="W71" s="1">
        <v>1.83</v>
      </c>
      <c r="X71" s="1">
        <v>1.84</v>
      </c>
      <c r="Y71" s="1">
        <v>1.8800000000000001</v>
      </c>
      <c r="Z71" s="1">
        <v>1.8800000000000001</v>
      </c>
      <c r="AA71" s="1">
        <v>1.8900000000000001</v>
      </c>
      <c r="AB71" s="1">
        <v>1.9000000000000001</v>
      </c>
      <c r="AC71" s="1">
        <v>1.9300000000000002</v>
      </c>
      <c r="AD71" s="1">
        <v>1.9400000000000002</v>
      </c>
      <c r="AE71" s="1">
        <v>1.9600000000000002</v>
      </c>
      <c r="AF71" s="1">
        <v>1.9700000000000002</v>
      </c>
      <c r="AG71" s="1">
        <v>1.9700000000000002</v>
      </c>
      <c r="AH71" s="1">
        <v>1.9800000000000002</v>
      </c>
      <c r="AI71" s="1">
        <v>2</v>
      </c>
      <c r="AJ71" s="1">
        <v>2.0100000000000002</v>
      </c>
      <c r="AK71" s="1">
        <v>2.0300000000000002</v>
      </c>
      <c r="AL71" s="1">
        <v>2.04</v>
      </c>
      <c r="AM71" s="1">
        <v>2.0499999999999998</v>
      </c>
      <c r="AN71" s="1">
        <v>2.0499999999999998</v>
      </c>
      <c r="AO71" s="1">
        <v>2.0499999999999998</v>
      </c>
      <c r="AP71" s="1">
        <v>2.0499999999999998</v>
      </c>
      <c r="AQ71" s="1">
        <v>2.0499999999999998</v>
      </c>
      <c r="AR71" s="1">
        <v>2.0499999999999998</v>
      </c>
      <c r="AS71" s="1">
        <v>2.0499999999999998</v>
      </c>
      <c r="AT71" s="1">
        <v>0</v>
      </c>
      <c r="AU71" s="1">
        <v>0</v>
      </c>
      <c r="AV71" s="1">
        <v>0</v>
      </c>
      <c r="AW71" s="1">
        <v>0</v>
      </c>
      <c r="AZ71" s="1">
        <v>1</v>
      </c>
      <c r="BA71" s="22">
        <f t="shared" si="2"/>
        <v>2.0499999999999998</v>
      </c>
    </row>
    <row r="72" spans="1:55" x14ac:dyDescent="0.2">
      <c r="A72" s="3" t="s">
        <v>249</v>
      </c>
      <c r="B72" s="3" t="s">
        <v>17</v>
      </c>
      <c r="C72" s="3" t="s">
        <v>254</v>
      </c>
      <c r="D72" s="3" t="s">
        <v>255</v>
      </c>
      <c r="E72" s="3">
        <v>0</v>
      </c>
      <c r="F72" s="3" t="s">
        <v>0</v>
      </c>
      <c r="G72" s="3" t="s">
        <v>0</v>
      </c>
      <c r="H72" s="3" t="s">
        <v>0</v>
      </c>
      <c r="I72" s="3" t="s">
        <v>0</v>
      </c>
      <c r="J72" s="3" t="s">
        <v>0</v>
      </c>
      <c r="K72" s="3" t="s">
        <v>0</v>
      </c>
      <c r="L72" s="4">
        <v>-1</v>
      </c>
      <c r="M72" s="3"/>
      <c r="BA72" s="22">
        <f t="shared" si="2"/>
        <v>0</v>
      </c>
    </row>
    <row r="73" spans="1:55" x14ac:dyDescent="0.2">
      <c r="A73" s="3" t="s">
        <v>249</v>
      </c>
      <c r="B73" s="3" t="s">
        <v>9</v>
      </c>
      <c r="C73" s="3" t="s">
        <v>265</v>
      </c>
      <c r="D73" s="3" t="s">
        <v>250</v>
      </c>
      <c r="E73" s="3">
        <v>0</v>
      </c>
      <c r="F73" s="3" t="s">
        <v>0</v>
      </c>
      <c r="G73" s="3" t="s">
        <v>0</v>
      </c>
      <c r="H73" s="3" t="s">
        <v>0</v>
      </c>
      <c r="I73" s="3" t="s">
        <v>0</v>
      </c>
      <c r="J73" s="3" t="s">
        <v>0</v>
      </c>
      <c r="K73" s="3" t="s">
        <v>0</v>
      </c>
      <c r="L73" s="4">
        <v>-1</v>
      </c>
      <c r="M73" s="3"/>
      <c r="BA73" s="22">
        <f t="shared" si="2"/>
        <v>0</v>
      </c>
    </row>
    <row r="74" spans="1:55" x14ac:dyDescent="0.2">
      <c r="A74" s="3" t="s">
        <v>249</v>
      </c>
      <c r="B74" s="3" t="s">
        <v>9</v>
      </c>
      <c r="C74" s="3" t="s">
        <v>263</v>
      </c>
      <c r="D74" s="3" t="s">
        <v>257</v>
      </c>
      <c r="E74" s="3">
        <v>0</v>
      </c>
      <c r="F74" s="3" t="s">
        <v>0</v>
      </c>
      <c r="G74" s="3" t="s">
        <v>0</v>
      </c>
      <c r="H74" s="3" t="s">
        <v>0</v>
      </c>
      <c r="I74" s="3" t="s">
        <v>0</v>
      </c>
      <c r="J74" s="3" t="s">
        <v>0</v>
      </c>
      <c r="K74" s="3" t="s">
        <v>0</v>
      </c>
      <c r="L74" s="4">
        <v>-1</v>
      </c>
      <c r="M74" s="3" t="s">
        <v>264</v>
      </c>
      <c r="BA74" s="22">
        <f t="shared" si="2"/>
        <v>0</v>
      </c>
    </row>
    <row r="75" spans="1:55" x14ac:dyDescent="0.2">
      <c r="A75" s="3" t="s">
        <v>249</v>
      </c>
      <c r="B75" s="3" t="s">
        <v>9</v>
      </c>
      <c r="C75" s="3" t="s">
        <v>256</v>
      </c>
      <c r="D75" s="3" t="s">
        <v>257</v>
      </c>
      <c r="E75" s="3">
        <v>0</v>
      </c>
      <c r="F75" s="3" t="s">
        <v>0</v>
      </c>
      <c r="G75" s="3" t="s">
        <v>0</v>
      </c>
      <c r="H75" s="3" t="s">
        <v>0</v>
      </c>
      <c r="I75" s="3" t="s">
        <v>0</v>
      </c>
      <c r="J75" s="3" t="s">
        <v>0</v>
      </c>
      <c r="K75" s="3" t="s">
        <v>0</v>
      </c>
      <c r="L75" s="4">
        <v>-1</v>
      </c>
      <c r="M75" s="3" t="s">
        <v>259</v>
      </c>
      <c r="BA75" s="22">
        <f t="shared" si="2"/>
        <v>0</v>
      </c>
    </row>
    <row r="76" spans="1:55" s="18" customFormat="1" ht="16" x14ac:dyDescent="0.2">
      <c r="A76" s="14" t="s">
        <v>185</v>
      </c>
      <c r="B76" s="14" t="s">
        <v>17</v>
      </c>
      <c r="C76" s="14" t="s">
        <v>183</v>
      </c>
      <c r="D76" s="14" t="s">
        <v>184</v>
      </c>
      <c r="E76" s="14">
        <v>1</v>
      </c>
      <c r="F76" s="14" t="s">
        <v>15</v>
      </c>
      <c r="G76" s="14" t="s">
        <v>17</v>
      </c>
      <c r="H76" s="14" t="s">
        <v>171</v>
      </c>
      <c r="I76" s="15" t="s">
        <v>291</v>
      </c>
      <c r="J76" s="15" t="s">
        <v>179</v>
      </c>
      <c r="K76" s="15" t="s">
        <v>175</v>
      </c>
      <c r="L76" s="16">
        <v>33</v>
      </c>
      <c r="M76" s="14"/>
      <c r="N76" s="18">
        <v>7.1775843189802083E-2</v>
      </c>
      <c r="O76" s="18">
        <v>6.8853516534707046E-2</v>
      </c>
      <c r="P76" s="18">
        <v>6.5612496117832084E-2</v>
      </c>
      <c r="Q76" s="18">
        <v>6.8488388475109879E-2</v>
      </c>
      <c r="R76" s="18">
        <v>6.6239713380133527E-2</v>
      </c>
      <c r="S76" s="18">
        <v>6.7873455490548185E-2</v>
      </c>
      <c r="T76" s="18">
        <v>6.801769123572686E-2</v>
      </c>
      <c r="U76" s="18">
        <v>6.7398199307317816E-2</v>
      </c>
      <c r="V76" s="18">
        <v>6.630814260029512E-2</v>
      </c>
      <c r="W76" s="18">
        <v>6.4870644329809837E-2</v>
      </c>
      <c r="X76" s="18">
        <v>6.4267860825440268E-2</v>
      </c>
      <c r="Y76" s="18">
        <v>6.1464940076012227E-2</v>
      </c>
      <c r="Z76" s="18">
        <v>6.0995858158496057E-2</v>
      </c>
      <c r="AA76" s="18">
        <v>6.2026623645419297E-2</v>
      </c>
      <c r="AB76" s="18">
        <v>6.2849109771659514E-2</v>
      </c>
      <c r="AC76" s="18">
        <v>6.2789319778495029E-2</v>
      </c>
      <c r="AD76" s="18">
        <v>6.038090268105839E-2</v>
      </c>
      <c r="AE76" s="18">
        <v>6.2168929003928043E-2</v>
      </c>
      <c r="AF76" s="18">
        <v>6.4506162887875682E-2</v>
      </c>
      <c r="AG76" s="18">
        <v>6.4000565779402205E-2</v>
      </c>
      <c r="AH76" s="18">
        <v>6.1298486495946283E-2</v>
      </c>
      <c r="AI76" s="18">
        <v>5.7621058750672201E-2</v>
      </c>
      <c r="AJ76" s="18">
        <v>5.6779432162458746E-2</v>
      </c>
      <c r="AK76" s="18">
        <v>5.6290554457718529E-2</v>
      </c>
      <c r="AL76" s="18">
        <v>5.6388776951795241E-2</v>
      </c>
      <c r="AM76" s="18">
        <v>5.7194935636120298E-2</v>
      </c>
      <c r="AN76" s="18">
        <v>5.5270761755004276E-2</v>
      </c>
      <c r="AO76" s="18">
        <v>5.5885438930849497E-2</v>
      </c>
      <c r="AP76" s="18">
        <v>5.8442933466205833E-2</v>
      </c>
      <c r="AQ76" s="18">
        <v>5.3503271285677688E-2</v>
      </c>
      <c r="AR76" s="18">
        <v>5.3427878665024978E-2</v>
      </c>
      <c r="AS76" s="18">
        <v>5.4993258977680308E-2</v>
      </c>
      <c r="AT76" s="18">
        <v>0</v>
      </c>
      <c r="AU76" s="18">
        <v>0</v>
      </c>
      <c r="AV76" s="18">
        <v>0</v>
      </c>
      <c r="AW76" s="18">
        <v>0</v>
      </c>
      <c r="AZ76" s="18">
        <v>28</v>
      </c>
      <c r="BA76" s="22">
        <f t="shared" si="2"/>
        <v>1.5398112513750486</v>
      </c>
    </row>
    <row r="77" spans="1:55" s="18" customFormat="1" ht="16" x14ac:dyDescent="0.2">
      <c r="A77" s="14" t="s">
        <v>188</v>
      </c>
      <c r="B77" s="14" t="s">
        <v>17</v>
      </c>
      <c r="C77" s="14" t="s">
        <v>186</v>
      </c>
      <c r="D77" s="14"/>
      <c r="E77" s="14">
        <v>1</v>
      </c>
      <c r="F77" s="14" t="s">
        <v>15</v>
      </c>
      <c r="G77" s="14" t="s">
        <v>17</v>
      </c>
      <c r="H77" s="14" t="s">
        <v>171</v>
      </c>
      <c r="I77" s="15" t="s">
        <v>291</v>
      </c>
      <c r="J77" s="15" t="s">
        <v>179</v>
      </c>
      <c r="K77" s="15" t="s">
        <v>176</v>
      </c>
      <c r="L77" s="16">
        <v>34</v>
      </c>
      <c r="M77" s="14"/>
      <c r="N77" s="18">
        <v>8.0926500189729689E-3</v>
      </c>
      <c r="O77" s="18">
        <v>7.4816374109036264E-3</v>
      </c>
      <c r="P77" s="18">
        <v>7.5050882247186309E-3</v>
      </c>
      <c r="Q77" s="18">
        <v>7.9091736762493606E-3</v>
      </c>
      <c r="R77" s="18">
        <v>7.6027138486206881E-3</v>
      </c>
      <c r="S77" s="18">
        <v>7.8136839707024942E-3</v>
      </c>
      <c r="T77" s="18">
        <v>7.4564014972319766E-3</v>
      </c>
      <c r="U77" s="18">
        <v>7.0283231325869392E-3</v>
      </c>
      <c r="V77" s="18">
        <v>7.4399609221850868E-3</v>
      </c>
      <c r="W77" s="18">
        <v>7.2053536265366015E-3</v>
      </c>
      <c r="X77" s="18">
        <v>7.3275379898550133E-3</v>
      </c>
      <c r="Y77" s="18">
        <v>7.3474255345520609E-3</v>
      </c>
      <c r="Z77" s="18">
        <v>6.7963841154004521E-3</v>
      </c>
      <c r="AA77" s="18">
        <v>6.5589627016676725E-3</v>
      </c>
      <c r="AB77" s="18">
        <v>6.7461499484563836E-3</v>
      </c>
      <c r="AC77" s="18">
        <v>6.5183648995828566E-3</v>
      </c>
      <c r="AD77" s="18">
        <v>6.3390432862994121E-3</v>
      </c>
      <c r="AE77" s="18">
        <v>6.536646775612426E-3</v>
      </c>
      <c r="AF77" s="18">
        <v>6.0877105598118927E-3</v>
      </c>
      <c r="AG77" s="18">
        <v>6.268279599015162E-3</v>
      </c>
      <c r="AH77" s="18">
        <v>6.0969518174489382E-3</v>
      </c>
      <c r="AI77" s="18">
        <v>5.8557777561273304E-3</v>
      </c>
      <c r="AJ77" s="18">
        <v>5.7715403937172293E-3</v>
      </c>
      <c r="AK77" s="18">
        <v>5.6784962092704906E-3</v>
      </c>
      <c r="AL77" s="18">
        <v>5.7040732633084588E-3</v>
      </c>
      <c r="AM77" s="18">
        <v>5.8555937839742875E-3</v>
      </c>
      <c r="AN77" s="18">
        <v>5.5791324506786919E-3</v>
      </c>
      <c r="AO77" s="18">
        <v>5.3908626934213895E-3</v>
      </c>
      <c r="AP77" s="18">
        <v>5.5740201872699364E-3</v>
      </c>
      <c r="AQ77" s="18">
        <v>5.9267806841109211E-3</v>
      </c>
      <c r="AR77" s="18">
        <v>5.6163013916110463E-3</v>
      </c>
      <c r="AS77" s="18">
        <v>5.3966849213936789E-3</v>
      </c>
      <c r="AT77" s="18">
        <v>0</v>
      </c>
      <c r="AU77" s="18">
        <v>0</v>
      </c>
      <c r="AV77" s="18">
        <v>0</v>
      </c>
      <c r="AW77" s="18">
        <v>0</v>
      </c>
      <c r="AZ77" s="18">
        <v>28</v>
      </c>
      <c r="BA77" s="22">
        <f t="shared" si="2"/>
        <v>0.151107177799023</v>
      </c>
      <c r="BC77" s="22">
        <f>+BA77+BA78</f>
        <v>0.23031873239296791</v>
      </c>
    </row>
    <row r="78" spans="1:55" s="18" customFormat="1" ht="16" x14ac:dyDescent="0.2">
      <c r="A78" s="14" t="s">
        <v>188</v>
      </c>
      <c r="B78" s="14" t="s">
        <v>3</v>
      </c>
      <c r="C78" s="14" t="s">
        <v>195</v>
      </c>
      <c r="D78" s="14" t="s">
        <v>196</v>
      </c>
      <c r="E78" s="14">
        <v>1</v>
      </c>
      <c r="F78" s="14" t="s">
        <v>15</v>
      </c>
      <c r="G78" s="14" t="s">
        <v>3</v>
      </c>
      <c r="H78" s="14" t="s">
        <v>171</v>
      </c>
      <c r="I78" s="15" t="s">
        <v>291</v>
      </c>
      <c r="J78" s="15" t="s">
        <v>194</v>
      </c>
      <c r="K78" s="15" t="s">
        <v>176</v>
      </c>
      <c r="L78" s="16">
        <v>38</v>
      </c>
      <c r="M78" s="14"/>
      <c r="N78" s="18">
        <v>1.5504388544172629E-4</v>
      </c>
      <c r="O78" s="18">
        <v>1.5126834713248351E-4</v>
      </c>
      <c r="P78" s="18">
        <v>1.4199029632876259E-4</v>
      </c>
      <c r="Q78" s="18">
        <v>1.3337847771511166E-4</v>
      </c>
      <c r="R78" s="18">
        <v>1.3051098994850603E-4</v>
      </c>
      <c r="S78" s="18">
        <v>1.3468238876679689E-4</v>
      </c>
      <c r="T78" s="18">
        <v>1.9339490652811576E-4</v>
      </c>
      <c r="U78" s="18">
        <v>1.4018038628643627E-4</v>
      </c>
      <c r="V78" s="18">
        <v>1.8525650883010068E-4</v>
      </c>
      <c r="W78" s="18">
        <v>1.87682775450029E-4</v>
      </c>
      <c r="X78" s="18">
        <v>2.4571712415170514E-4</v>
      </c>
      <c r="Y78" s="18">
        <v>2.4212620422282702E-4</v>
      </c>
      <c r="Z78" s="18">
        <v>5.3326750481208961E-5</v>
      </c>
      <c r="AA78" s="18">
        <v>4.7512526960178369E-5</v>
      </c>
      <c r="AB78" s="18">
        <v>2.1949625240108808E-4</v>
      </c>
      <c r="AC78" s="18">
        <v>2.0306223246587823E-4</v>
      </c>
      <c r="AD78" s="18">
        <v>2.1703781989493737E-4</v>
      </c>
      <c r="AE78" s="18">
        <v>1.9417811000762024E-4</v>
      </c>
      <c r="AF78" s="18">
        <v>1.9171963986526949E-4</v>
      </c>
      <c r="AG78" s="18">
        <v>1.9412954888622377E-4</v>
      </c>
      <c r="AH78" s="18">
        <v>1.9422075639681071E-4</v>
      </c>
      <c r="AI78" s="18">
        <v>1.5317982604697608E-4</v>
      </c>
      <c r="AJ78" s="18">
        <v>1.4641421805158681E-4</v>
      </c>
      <c r="AK78" s="18">
        <v>1.4100647322996254E-4</v>
      </c>
      <c r="AL78" s="18">
        <v>1.4005375522737704E-4</v>
      </c>
      <c r="AM78" s="18">
        <v>1.4248411961387511E-4</v>
      </c>
      <c r="AN78" s="18">
        <v>1.3307215689517852E-4</v>
      </c>
      <c r="AO78" s="18">
        <v>1.3293771235908978E-4</v>
      </c>
      <c r="AP78" s="18">
        <v>1.4356855361337298E-4</v>
      </c>
      <c r="AQ78" s="18">
        <v>3.3712758364190569E-4</v>
      </c>
      <c r="AR78" s="18">
        <v>3.7028402736515536E-4</v>
      </c>
      <c r="AS78" s="18">
        <v>2.9891152676960337E-4</v>
      </c>
      <c r="AT78" s="18">
        <v>0</v>
      </c>
      <c r="AU78" s="18">
        <v>0</v>
      </c>
      <c r="AV78" s="18">
        <v>0</v>
      </c>
      <c r="AW78" s="18">
        <v>0</v>
      </c>
      <c r="AZ78" s="18">
        <v>265</v>
      </c>
      <c r="BA78" s="22">
        <f t="shared" si="2"/>
        <v>7.9211554593944897E-2</v>
      </c>
    </row>
    <row r="79" spans="1:55" ht="16" x14ac:dyDescent="0.2">
      <c r="A79" s="3" t="s">
        <v>189</v>
      </c>
      <c r="B79" s="3" t="s">
        <v>9</v>
      </c>
      <c r="C79" s="3" t="s">
        <v>192</v>
      </c>
      <c r="D79" s="3" t="s">
        <v>193</v>
      </c>
      <c r="E79" s="3">
        <v>1</v>
      </c>
      <c r="F79" s="3" t="s">
        <v>15</v>
      </c>
      <c r="G79" s="3" t="s">
        <v>14</v>
      </c>
      <c r="H79" s="3" t="s">
        <v>171</v>
      </c>
      <c r="I79" s="5" t="s">
        <v>291</v>
      </c>
      <c r="J79" s="5" t="s">
        <v>172</v>
      </c>
      <c r="K79" s="5" t="s">
        <v>173</v>
      </c>
      <c r="L79" s="4">
        <v>30</v>
      </c>
      <c r="M79" s="3"/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1.6258513985620383E-2</v>
      </c>
      <c r="AM79" s="1">
        <v>3.711744680878655E-2</v>
      </c>
      <c r="AN79" s="1">
        <v>3.6490495208180852E-2</v>
      </c>
      <c r="AO79" s="1">
        <v>4.0707735578150425E-2</v>
      </c>
      <c r="AP79" s="1">
        <v>0</v>
      </c>
      <c r="AQ79" s="1">
        <v>2.5356663185971528E-2</v>
      </c>
      <c r="AR79" s="1">
        <v>3.3722283622326876E-2</v>
      </c>
      <c r="AS79" s="1">
        <v>4.7991336866377327E-2</v>
      </c>
      <c r="AT79" s="1">
        <v>0</v>
      </c>
      <c r="AU79" s="1">
        <v>0</v>
      </c>
      <c r="AV79" s="1">
        <v>0</v>
      </c>
      <c r="AW79" s="1">
        <v>0</v>
      </c>
      <c r="AZ79" s="1">
        <v>1</v>
      </c>
      <c r="BA79" s="22">
        <f t="shared" si="2"/>
        <v>4.7991336866377327E-2</v>
      </c>
      <c r="BC79" s="21">
        <f>+BA79+BA80+BA83</f>
        <v>0.30515239364274371</v>
      </c>
    </row>
    <row r="80" spans="1:55" ht="16" x14ac:dyDescent="0.2">
      <c r="A80" s="3" t="s">
        <v>189</v>
      </c>
      <c r="B80" s="3" t="s">
        <v>9</v>
      </c>
      <c r="C80" s="3" t="s">
        <v>190</v>
      </c>
      <c r="D80" s="3" t="s">
        <v>191</v>
      </c>
      <c r="E80" s="3">
        <v>1</v>
      </c>
      <c r="F80" s="3" t="s">
        <v>15</v>
      </c>
      <c r="G80" s="3" t="s">
        <v>14</v>
      </c>
      <c r="H80" s="3" t="s">
        <v>171</v>
      </c>
      <c r="I80" s="5" t="s">
        <v>291</v>
      </c>
      <c r="J80" s="5" t="s">
        <v>172</v>
      </c>
      <c r="K80" s="5" t="s">
        <v>174</v>
      </c>
      <c r="L80" s="4">
        <v>31</v>
      </c>
      <c r="M80" s="3"/>
      <c r="N80" s="1">
        <v>5.2510031630832503E-2</v>
      </c>
      <c r="O80" s="1">
        <v>3.8566469019323237E-2</v>
      </c>
      <c r="P80" s="1">
        <v>4.3823305452236234E-2</v>
      </c>
      <c r="Q80" s="1">
        <v>4.2844811394357259E-2</v>
      </c>
      <c r="R80" s="1">
        <v>4.6750886812422517E-2</v>
      </c>
      <c r="S80" s="1">
        <v>4.293909957966676E-2</v>
      </c>
      <c r="T80" s="1">
        <v>4.6384055157398171E-2</v>
      </c>
      <c r="U80" s="1">
        <v>5.0065854183676553E-2</v>
      </c>
      <c r="V80" s="1">
        <v>6.4201206447125722E-2</v>
      </c>
      <c r="W80" s="1">
        <v>6.4310205207293844E-2</v>
      </c>
      <c r="X80" s="1">
        <v>6.355624167649461E-2</v>
      </c>
      <c r="Y80" s="1">
        <v>6.2888344854697742E-2</v>
      </c>
      <c r="Z80" s="1">
        <v>7.3696505972360826E-2</v>
      </c>
      <c r="AA80" s="1">
        <v>7.5509425988085521E-2</v>
      </c>
      <c r="AB80" s="1">
        <v>7.5203255496083948E-2</v>
      </c>
      <c r="AC80" s="1">
        <v>6.8732172608787681E-2</v>
      </c>
      <c r="AD80" s="1">
        <v>6.1218000060479602E-2</v>
      </c>
      <c r="AE80" s="1">
        <v>8.5926331851583063E-2</v>
      </c>
      <c r="AF80" s="1">
        <v>0.10815039136351268</v>
      </c>
      <c r="AG80" s="1">
        <v>0.1015811430645015</v>
      </c>
      <c r="AH80" s="1">
        <v>0.12760988865705042</v>
      </c>
      <c r="AI80" s="1">
        <v>0.11723365109316881</v>
      </c>
      <c r="AJ80" s="1">
        <v>0.11021994943905168</v>
      </c>
      <c r="AK80" s="1">
        <v>0.11473803453385346</v>
      </c>
      <c r="AL80" s="1">
        <v>0.12677019105506668</v>
      </c>
      <c r="AM80" s="1">
        <v>0.17977418585382077</v>
      </c>
      <c r="AN80" s="1">
        <v>0.17694690943179411</v>
      </c>
      <c r="AO80" s="1">
        <v>0.17257536679785665</v>
      </c>
      <c r="AP80" s="1">
        <v>0.20338930184414847</v>
      </c>
      <c r="AQ80" s="1">
        <v>0.22131322015488614</v>
      </c>
      <c r="AR80" s="1">
        <v>0.23923713846562872</v>
      </c>
      <c r="AS80" s="1">
        <v>0.25716105677636641</v>
      </c>
      <c r="AT80" s="1">
        <v>0</v>
      </c>
      <c r="AU80" s="1">
        <v>0</v>
      </c>
      <c r="AV80" s="1">
        <v>0</v>
      </c>
      <c r="AW80" s="1">
        <v>0</v>
      </c>
      <c r="AZ80" s="1">
        <v>1</v>
      </c>
      <c r="BA80" s="22">
        <f t="shared" si="2"/>
        <v>0.25716105677636641</v>
      </c>
    </row>
    <row r="81" spans="1:55" s="18" customFormat="1" ht="16" x14ac:dyDescent="0.2">
      <c r="A81" s="14" t="s">
        <v>189</v>
      </c>
      <c r="B81" s="14" t="s">
        <v>3</v>
      </c>
      <c r="C81" s="14" t="s">
        <v>200</v>
      </c>
      <c r="D81" s="14" t="s">
        <v>201</v>
      </c>
      <c r="E81" s="14">
        <v>1</v>
      </c>
      <c r="F81" s="14" t="s">
        <v>18</v>
      </c>
      <c r="G81" s="14" t="s">
        <v>3</v>
      </c>
      <c r="H81" s="14" t="s">
        <v>171</v>
      </c>
      <c r="I81" s="14" t="s">
        <v>292</v>
      </c>
      <c r="J81" s="15" t="s">
        <v>205</v>
      </c>
      <c r="K81" s="20" t="s">
        <v>206</v>
      </c>
      <c r="L81" s="16">
        <v>45</v>
      </c>
      <c r="M81" s="14"/>
      <c r="N81" s="18">
        <v>4810.0747036333523</v>
      </c>
      <c r="O81" s="18">
        <v>4572.2343504247428</v>
      </c>
      <c r="P81" s="18">
        <v>4573.6417540392085</v>
      </c>
      <c r="Q81" s="18">
        <v>4827.2797159488664</v>
      </c>
      <c r="R81" s="18">
        <v>4570.8331875838403</v>
      </c>
      <c r="S81" s="18">
        <v>4843.0934747493502</v>
      </c>
      <c r="T81" s="18">
        <v>5123.8221323688904</v>
      </c>
      <c r="U81" s="18">
        <v>4709.6742682985714</v>
      </c>
      <c r="V81" s="18">
        <v>4971.9825681626353</v>
      </c>
      <c r="W81" s="18">
        <v>4699.9688447993658</v>
      </c>
      <c r="X81" s="18">
        <v>4608.3525500805508</v>
      </c>
      <c r="Y81" s="18">
        <v>4646.4509462919723</v>
      </c>
      <c r="Z81" s="18">
        <v>5041.6153348886537</v>
      </c>
      <c r="AA81" s="18">
        <v>4959.3975922956415</v>
      </c>
      <c r="AB81" s="18">
        <v>4348.0462506325393</v>
      </c>
      <c r="AC81" s="18">
        <v>4505.0299926819216</v>
      </c>
      <c r="AD81" s="18">
        <v>4079.5947376505787</v>
      </c>
      <c r="AE81" s="18">
        <v>5222.5317022090767</v>
      </c>
      <c r="AF81" s="18">
        <v>5062.2772694811865</v>
      </c>
      <c r="AG81" s="18">
        <v>4512.2490390864523</v>
      </c>
      <c r="AH81" s="18">
        <v>4759.8784927849892</v>
      </c>
      <c r="AI81" s="18">
        <v>4974.6141021215462</v>
      </c>
      <c r="AJ81" s="18">
        <v>4682.7610170753696</v>
      </c>
      <c r="AK81" s="18">
        <v>4598.3897027699377</v>
      </c>
      <c r="AL81" s="18">
        <v>4039.0450184631968</v>
      </c>
      <c r="AM81" s="18">
        <v>5179.846264144745</v>
      </c>
      <c r="AN81" s="18">
        <v>4886.4850403345454</v>
      </c>
      <c r="AO81" s="18">
        <v>5035.4088202775938</v>
      </c>
      <c r="AP81" s="18">
        <v>5224.5137913096432</v>
      </c>
      <c r="AQ81" s="18">
        <v>5513.6852612033636</v>
      </c>
      <c r="AR81" s="18">
        <v>4855.1096453720611</v>
      </c>
      <c r="AS81" s="18">
        <v>3150.7701824795513</v>
      </c>
      <c r="AT81" s="18">
        <v>0</v>
      </c>
      <c r="AU81" s="18">
        <v>0</v>
      </c>
      <c r="AV81" s="18">
        <v>0</v>
      </c>
      <c r="AW81" s="18">
        <v>0</v>
      </c>
      <c r="AZ81" s="18">
        <f>265/1000000</f>
        <v>2.6499999999999999E-4</v>
      </c>
      <c r="BA81" s="22">
        <f t="shared" si="2"/>
        <v>0.83495409835708101</v>
      </c>
      <c r="BC81" s="22">
        <f>+BA81+BA82</f>
        <v>0.9280287002586477</v>
      </c>
    </row>
    <row r="82" spans="1:55" s="18" customFormat="1" ht="16" x14ac:dyDescent="0.2">
      <c r="A82" s="14" t="s">
        <v>189</v>
      </c>
      <c r="B82" s="14" t="s">
        <v>3</v>
      </c>
      <c r="C82" s="14" t="s">
        <v>208</v>
      </c>
      <c r="D82" s="14" t="s">
        <v>209</v>
      </c>
      <c r="E82" s="14">
        <v>1</v>
      </c>
      <c r="F82" s="14" t="s">
        <v>18</v>
      </c>
      <c r="G82" s="14" t="s">
        <v>3</v>
      </c>
      <c r="H82" s="14" t="s">
        <v>171</v>
      </c>
      <c r="I82" s="14" t="s">
        <v>292</v>
      </c>
      <c r="J82" s="15" t="s">
        <v>207</v>
      </c>
      <c r="K82" s="20" t="s">
        <v>206</v>
      </c>
      <c r="L82" s="16">
        <v>51</v>
      </c>
      <c r="M82" s="14"/>
      <c r="N82" s="18">
        <v>423.56740134396227</v>
      </c>
      <c r="O82" s="18">
        <v>385.49756051033683</v>
      </c>
      <c r="P82" s="18">
        <v>437.38175524910389</v>
      </c>
      <c r="Q82" s="18">
        <v>436.45666337468992</v>
      </c>
      <c r="R82" s="18">
        <v>365.27053841239467</v>
      </c>
      <c r="S82" s="18">
        <v>426.94967677118228</v>
      </c>
      <c r="T82" s="18">
        <v>438.21711397358109</v>
      </c>
      <c r="U82" s="18">
        <v>423.99197608200291</v>
      </c>
      <c r="V82" s="18">
        <v>506.06330180489954</v>
      </c>
      <c r="W82" s="18">
        <v>432.25169347775602</v>
      </c>
      <c r="X82" s="18">
        <v>411.35789984735197</v>
      </c>
      <c r="Y82" s="18">
        <v>455.84289843069195</v>
      </c>
      <c r="Z82" s="18">
        <v>428.06234849048565</v>
      </c>
      <c r="AA82" s="18">
        <v>414.62092732935878</v>
      </c>
      <c r="AB82" s="18">
        <v>439.12764487302223</v>
      </c>
      <c r="AC82" s="18">
        <v>420.69800528303523</v>
      </c>
      <c r="AD82" s="18">
        <v>391.70393509292825</v>
      </c>
      <c r="AE82" s="18">
        <v>475.09270039965185</v>
      </c>
      <c r="AF82" s="18">
        <v>512.41730760481516</v>
      </c>
      <c r="AG82" s="18">
        <v>476.49805225666688</v>
      </c>
      <c r="AH82" s="18">
        <v>495.23997042624478</v>
      </c>
      <c r="AI82" s="18">
        <v>455.67474119758117</v>
      </c>
      <c r="AJ82" s="18">
        <v>353.25050400736802</v>
      </c>
      <c r="AK82" s="18">
        <v>442.81455427386112</v>
      </c>
      <c r="AL82" s="18">
        <v>412.79874549408999</v>
      </c>
      <c r="AM82" s="18">
        <v>603.37310163936218</v>
      </c>
      <c r="AN82" s="18">
        <v>556.79449587098168</v>
      </c>
      <c r="AO82" s="18">
        <v>585.57907774620264</v>
      </c>
      <c r="AP82" s="18">
        <v>615.89055127296456</v>
      </c>
      <c r="AQ82" s="18">
        <v>606.842303885869</v>
      </c>
      <c r="AR82" s="18">
        <v>527.10729948077869</v>
      </c>
      <c r="AS82" s="18">
        <v>351.22491283610088</v>
      </c>
      <c r="AT82" s="18">
        <v>0</v>
      </c>
      <c r="AU82" s="18">
        <v>0</v>
      </c>
      <c r="AV82" s="18">
        <v>0</v>
      </c>
      <c r="AW82" s="18">
        <v>0</v>
      </c>
      <c r="AZ82" s="18">
        <f>265/1000000</f>
        <v>2.6499999999999999E-4</v>
      </c>
      <c r="BA82" s="22">
        <f t="shared" si="2"/>
        <v>9.3074601901566731E-2</v>
      </c>
    </row>
    <row r="83" spans="1:55" x14ac:dyDescent="0.2">
      <c r="A83" s="3" t="s">
        <v>189</v>
      </c>
      <c r="B83" s="3" t="s">
        <v>9</v>
      </c>
      <c r="C83" s="3" t="s">
        <v>232</v>
      </c>
      <c r="D83" s="3" t="s">
        <v>233</v>
      </c>
      <c r="E83" s="3">
        <v>0</v>
      </c>
      <c r="F83" s="3" t="s">
        <v>0</v>
      </c>
      <c r="G83" s="3" t="s">
        <v>0</v>
      </c>
      <c r="H83" s="3" t="s">
        <v>0</v>
      </c>
      <c r="I83" s="3" t="s">
        <v>0</v>
      </c>
      <c r="J83" s="3" t="s">
        <v>0</v>
      </c>
      <c r="K83" s="3" t="s">
        <v>0</v>
      </c>
      <c r="L83" s="4">
        <v>-1</v>
      </c>
      <c r="M83" s="3"/>
      <c r="BA83" s="22">
        <f t="shared" si="2"/>
        <v>0</v>
      </c>
    </row>
    <row r="84" spans="1:55" x14ac:dyDescent="0.2">
      <c r="A84" s="3" t="s">
        <v>268</v>
      </c>
      <c r="B84" s="3" t="s">
        <v>17</v>
      </c>
      <c r="C84" s="3" t="s">
        <v>272</v>
      </c>
      <c r="D84" s="3" t="s">
        <v>273</v>
      </c>
      <c r="E84" s="3">
        <v>0</v>
      </c>
      <c r="F84" s="3" t="s">
        <v>0</v>
      </c>
      <c r="G84" s="3" t="s">
        <v>0</v>
      </c>
      <c r="H84" s="3" t="s">
        <v>0</v>
      </c>
      <c r="I84" s="3" t="s">
        <v>0</v>
      </c>
      <c r="J84" s="3" t="s">
        <v>0</v>
      </c>
      <c r="K84" s="3" t="s">
        <v>0</v>
      </c>
      <c r="L84" s="4">
        <v>-1</v>
      </c>
      <c r="M84" s="3"/>
      <c r="BA84" s="22">
        <f t="shared" si="2"/>
        <v>0</v>
      </c>
      <c r="BB84" s="21">
        <f>+BA84+BA85+BA86+BA88+BA89</f>
        <v>2.9989032875981185</v>
      </c>
    </row>
    <row r="85" spans="1:55" x14ac:dyDescent="0.2">
      <c r="A85" s="3" t="s">
        <v>268</v>
      </c>
      <c r="B85" s="3" t="s">
        <v>17</v>
      </c>
      <c r="C85" s="3" t="s">
        <v>274</v>
      </c>
      <c r="D85" s="3" t="s">
        <v>275</v>
      </c>
      <c r="E85" s="3">
        <v>0</v>
      </c>
      <c r="F85" s="3" t="s">
        <v>0</v>
      </c>
      <c r="G85" s="3" t="s">
        <v>0</v>
      </c>
      <c r="H85" s="3" t="s">
        <v>0</v>
      </c>
      <c r="I85" s="3" t="s">
        <v>0</v>
      </c>
      <c r="J85" s="3" t="s">
        <v>0</v>
      </c>
      <c r="K85" s="3" t="s">
        <v>0</v>
      </c>
      <c r="L85" s="4">
        <v>-1</v>
      </c>
      <c r="M85" s="3"/>
      <c r="BA85" s="22">
        <f t="shared" si="2"/>
        <v>0</v>
      </c>
    </row>
    <row r="86" spans="1:55" x14ac:dyDescent="0.2">
      <c r="A86" s="3" t="s">
        <v>268</v>
      </c>
      <c r="B86" s="3" t="s">
        <v>17</v>
      </c>
      <c r="C86" s="3" t="s">
        <v>270</v>
      </c>
      <c r="D86" s="3" t="s">
        <v>271</v>
      </c>
      <c r="E86" s="3">
        <v>0</v>
      </c>
      <c r="F86" s="3" t="s">
        <v>0</v>
      </c>
      <c r="G86" s="3" t="s">
        <v>0</v>
      </c>
      <c r="H86" s="3" t="s">
        <v>0</v>
      </c>
      <c r="I86" s="3" t="s">
        <v>0</v>
      </c>
      <c r="J86" s="3" t="s">
        <v>0</v>
      </c>
      <c r="K86" s="3" t="s">
        <v>0</v>
      </c>
      <c r="L86" s="4">
        <v>-1</v>
      </c>
      <c r="M86" s="3"/>
      <c r="BA86" s="22">
        <f t="shared" si="2"/>
        <v>0</v>
      </c>
    </row>
    <row r="87" spans="1:55" x14ac:dyDescent="0.2">
      <c r="A87" s="3" t="s">
        <v>268</v>
      </c>
      <c r="B87" s="3" t="s">
        <v>3</v>
      </c>
      <c r="C87" s="3" t="s">
        <v>281</v>
      </c>
      <c r="D87" s="3" t="s">
        <v>280</v>
      </c>
      <c r="E87" s="3">
        <v>0</v>
      </c>
      <c r="F87" s="3" t="s">
        <v>0</v>
      </c>
      <c r="G87" s="3" t="s">
        <v>0</v>
      </c>
      <c r="H87" s="3" t="s">
        <v>0</v>
      </c>
      <c r="I87" s="3" t="s">
        <v>0</v>
      </c>
      <c r="J87" s="3" t="s">
        <v>0</v>
      </c>
      <c r="K87" s="3" t="s">
        <v>0</v>
      </c>
      <c r="L87" s="4">
        <v>-1</v>
      </c>
      <c r="M87" s="3"/>
      <c r="BA87" s="22">
        <f t="shared" si="2"/>
        <v>0</v>
      </c>
      <c r="BB87" s="21">
        <f>+BA87+BA91</f>
        <v>2.2113680705424998E-3</v>
      </c>
    </row>
    <row r="88" spans="1:55" ht="16" x14ac:dyDescent="0.2">
      <c r="A88" s="3" t="s">
        <v>268</v>
      </c>
      <c r="B88" s="3" t="s">
        <v>17</v>
      </c>
      <c r="C88" s="3" t="s">
        <v>276</v>
      </c>
      <c r="D88" s="3" t="s">
        <v>277</v>
      </c>
      <c r="E88" s="3">
        <v>1</v>
      </c>
      <c r="F88" s="3" t="s">
        <v>18</v>
      </c>
      <c r="G88" s="3" t="s">
        <v>14</v>
      </c>
      <c r="H88" s="3" t="s">
        <v>269</v>
      </c>
      <c r="I88" s="10" t="s">
        <v>301</v>
      </c>
      <c r="J88" s="7" t="s">
        <v>33</v>
      </c>
      <c r="K88" s="9"/>
      <c r="L88" s="4">
        <v>32</v>
      </c>
      <c r="M88" s="3"/>
      <c r="N88" s="1">
        <v>0</v>
      </c>
      <c r="O88" s="1">
        <v>0</v>
      </c>
      <c r="P88" s="1">
        <v>0</v>
      </c>
      <c r="Q88" s="1">
        <v>283.19259442073678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42.322312651294396</v>
      </c>
      <c r="AB88" s="1">
        <v>99.467572865648705</v>
      </c>
      <c r="AC88" s="1">
        <v>114.29052042870865</v>
      </c>
      <c r="AD88" s="1">
        <v>129.11346799176854</v>
      </c>
      <c r="AE88" s="1">
        <v>126.81246618323864</v>
      </c>
      <c r="AF88" s="1">
        <v>124.51146437470869</v>
      </c>
      <c r="AG88" s="1">
        <v>78.088191093222704</v>
      </c>
      <c r="AH88" s="1">
        <v>80.255620313397301</v>
      </c>
      <c r="AI88" s="1">
        <v>80.549725753302994</v>
      </c>
      <c r="AJ88" s="1">
        <v>80.652023297618015</v>
      </c>
      <c r="AK88" s="1">
        <v>81.540733213854807</v>
      </c>
      <c r="AL88" s="1">
        <v>82.605267034383047</v>
      </c>
      <c r="AM88" s="1">
        <v>83.791279188785367</v>
      </c>
      <c r="AN88" s="1">
        <v>85.709358144692104</v>
      </c>
      <c r="AO88" s="1">
        <v>85.885182048983538</v>
      </c>
      <c r="AP88" s="1">
        <v>93.461593924815105</v>
      </c>
      <c r="AQ88" s="1">
        <v>93.461593924815105</v>
      </c>
      <c r="AR88" s="1">
        <v>93.461593924815105</v>
      </c>
      <c r="AS88" s="1">
        <v>93.461593924815105</v>
      </c>
      <c r="AT88" s="1">
        <v>0</v>
      </c>
      <c r="AU88" s="1">
        <v>0</v>
      </c>
      <c r="AV88" s="1">
        <v>0</v>
      </c>
      <c r="AW88" s="1">
        <v>0</v>
      </c>
      <c r="AZ88" s="1">
        <f>1/1000000</f>
        <v>9.9999999999999995E-7</v>
      </c>
      <c r="BA88" s="22">
        <f t="shared" si="2"/>
        <v>9.3461593924815096E-5</v>
      </c>
    </row>
    <row r="89" spans="1:55" ht="16" x14ac:dyDescent="0.2">
      <c r="A89" s="3" t="s">
        <v>268</v>
      </c>
      <c r="B89" s="3" t="s">
        <v>17</v>
      </c>
      <c r="C89" s="3" t="s">
        <v>266</v>
      </c>
      <c r="D89" s="3" t="s">
        <v>267</v>
      </c>
      <c r="E89" s="3">
        <v>1</v>
      </c>
      <c r="F89" s="3" t="s">
        <v>18</v>
      </c>
      <c r="G89" s="3" t="s">
        <v>14</v>
      </c>
      <c r="H89" s="3" t="s">
        <v>269</v>
      </c>
      <c r="I89" s="11" t="s">
        <v>302</v>
      </c>
      <c r="J89" s="10" t="s">
        <v>303</v>
      </c>
      <c r="K89" s="9"/>
      <c r="L89" s="4">
        <v>23</v>
      </c>
      <c r="M89" s="3"/>
      <c r="N89" s="1">
        <v>3199054.3031883608</v>
      </c>
      <c r="O89" s="1">
        <v>3286388.3145275009</v>
      </c>
      <c r="P89" s="1">
        <v>3354943.3219169867</v>
      </c>
      <c r="Q89" s="1">
        <v>3419907.7752515711</v>
      </c>
      <c r="R89" s="1">
        <v>3116393.673552129</v>
      </c>
      <c r="S89" s="1">
        <v>2980314.2019582489</v>
      </c>
      <c r="T89" s="1">
        <v>3130697.0220735776</v>
      </c>
      <c r="U89" s="1">
        <v>3197452.0445874548</v>
      </c>
      <c r="V89" s="1">
        <v>3260400.9245913289</v>
      </c>
      <c r="W89" s="1">
        <v>3169106.7610907848</v>
      </c>
      <c r="X89" s="1">
        <v>3267090.9288199469</v>
      </c>
      <c r="Y89" s="1">
        <v>3594673.8792315768</v>
      </c>
      <c r="Z89" s="1">
        <v>3557251.3865271113</v>
      </c>
      <c r="AA89" s="1">
        <v>3222856.3270180193</v>
      </c>
      <c r="AB89" s="1">
        <v>3208011.0110675609</v>
      </c>
      <c r="AC89" s="1">
        <v>3132580.6595430719</v>
      </c>
      <c r="AD89" s="1">
        <v>3212000.4639660697</v>
      </c>
      <c r="AE89" s="1">
        <v>3404374.6576203541</v>
      </c>
      <c r="AF89" s="1">
        <v>3639505.8474588254</v>
      </c>
      <c r="AG89" s="1">
        <v>3807462.0322862575</v>
      </c>
      <c r="AH89" s="1">
        <v>3435235.8449361352</v>
      </c>
      <c r="AI89" s="1">
        <v>3359054.9789174134</v>
      </c>
      <c r="AJ89" s="1">
        <v>3353742.7850202029</v>
      </c>
      <c r="AK89" s="1">
        <v>3590029.6777455276</v>
      </c>
      <c r="AL89" s="1">
        <v>3514201.1132715158</v>
      </c>
      <c r="AM89" s="1">
        <v>3526023.8584420169</v>
      </c>
      <c r="AN89" s="1">
        <v>3646177.1063722423</v>
      </c>
      <c r="AO89" s="1">
        <v>3468943.428819478</v>
      </c>
      <c r="AP89" s="1">
        <v>3280208.3895475925</v>
      </c>
      <c r="AQ89" s="1">
        <v>3171919.257705838</v>
      </c>
      <c r="AR89" s="1">
        <v>3206750.2364805061</v>
      </c>
      <c r="AS89" s="1">
        <v>2998809.8260041936</v>
      </c>
      <c r="AT89" s="1">
        <v>0</v>
      </c>
      <c r="AU89" s="1">
        <v>0</v>
      </c>
      <c r="AV89" s="1">
        <v>0</v>
      </c>
      <c r="AW89" s="1">
        <v>0</v>
      </c>
      <c r="AZ89" s="1">
        <f>1/1000000</f>
        <v>9.9999999999999995E-7</v>
      </c>
      <c r="BA89" s="22">
        <f t="shared" si="2"/>
        <v>2.9988098260041935</v>
      </c>
    </row>
    <row r="90" spans="1:55" ht="16" x14ac:dyDescent="0.2">
      <c r="A90" s="3" t="s">
        <v>268</v>
      </c>
      <c r="B90" s="3" t="s">
        <v>9</v>
      </c>
      <c r="C90" s="3" t="s">
        <v>279</v>
      </c>
      <c r="D90" s="3" t="s">
        <v>278</v>
      </c>
      <c r="E90" s="3">
        <v>1</v>
      </c>
      <c r="F90" s="3" t="s">
        <v>18</v>
      </c>
      <c r="G90" s="3" t="s">
        <v>14</v>
      </c>
      <c r="H90" s="3" t="s">
        <v>269</v>
      </c>
      <c r="I90" s="10" t="s">
        <v>301</v>
      </c>
      <c r="J90" s="11" t="s">
        <v>304</v>
      </c>
      <c r="K90" s="9"/>
      <c r="L90" s="4">
        <v>27</v>
      </c>
      <c r="M90" s="3"/>
      <c r="N90" s="1">
        <v>0</v>
      </c>
      <c r="O90" s="1">
        <v>0</v>
      </c>
      <c r="P90" s="1">
        <v>0</v>
      </c>
      <c r="Q90" s="1">
        <v>243212.67681067466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47263.65270878149</v>
      </c>
      <c r="AB90" s="1">
        <v>114779.54290338955</v>
      </c>
      <c r="AC90" s="1">
        <v>139635.23754664807</v>
      </c>
      <c r="AD90" s="1">
        <v>157366.36152827254</v>
      </c>
      <c r="AE90" s="1">
        <v>155007.46448460681</v>
      </c>
      <c r="AF90" s="1">
        <v>163008.77289207868</v>
      </c>
      <c r="AG90" s="1">
        <v>100896.55738807753</v>
      </c>
      <c r="AH90" s="1">
        <v>110262.08229774286</v>
      </c>
      <c r="AI90" s="1">
        <v>112814.2208543008</v>
      </c>
      <c r="AJ90" s="1">
        <v>114201.42831955366</v>
      </c>
      <c r="AK90" s="1">
        <v>117624.36661718338</v>
      </c>
      <c r="AL90" s="1">
        <v>121088.72376780461</v>
      </c>
      <c r="AM90" s="1">
        <v>124485.96953958223</v>
      </c>
      <c r="AN90" s="1">
        <v>128790.1886335111</v>
      </c>
      <c r="AO90" s="1">
        <v>129982.82156849302</v>
      </c>
      <c r="AP90" s="1">
        <v>137286.97595211648</v>
      </c>
      <c r="AQ90" s="1">
        <v>137286.97595211648</v>
      </c>
      <c r="AR90" s="1">
        <v>137286.97595211648</v>
      </c>
      <c r="AS90" s="1">
        <v>137286.97595211648</v>
      </c>
      <c r="AT90" s="1">
        <v>0</v>
      </c>
      <c r="AU90" s="1">
        <v>0</v>
      </c>
      <c r="AV90" s="1">
        <v>0</v>
      </c>
      <c r="AW90" s="1">
        <v>0</v>
      </c>
      <c r="AZ90" s="1">
        <f>1/1000000</f>
        <v>9.9999999999999995E-7</v>
      </c>
      <c r="BA90" s="22">
        <f t="shared" si="2"/>
        <v>0.13728697595211647</v>
      </c>
    </row>
    <row r="91" spans="1:55" ht="16" x14ac:dyDescent="0.2">
      <c r="A91" s="3" t="s">
        <v>268</v>
      </c>
      <c r="B91" s="3" t="s">
        <v>3</v>
      </c>
      <c r="C91" s="3" t="s">
        <v>282</v>
      </c>
      <c r="D91" s="3" t="s">
        <v>283</v>
      </c>
      <c r="E91" s="3">
        <v>1</v>
      </c>
      <c r="F91" s="3" t="s">
        <v>18</v>
      </c>
      <c r="G91" s="3" t="s">
        <v>14</v>
      </c>
      <c r="H91" s="3" t="s">
        <v>269</v>
      </c>
      <c r="I91" s="10" t="s">
        <v>301</v>
      </c>
      <c r="J91" s="11" t="s">
        <v>305</v>
      </c>
      <c r="K91" s="9"/>
      <c r="L91" s="4">
        <v>31</v>
      </c>
      <c r="M91" s="3"/>
      <c r="N91" s="1">
        <v>0</v>
      </c>
      <c r="O91" s="1">
        <v>0</v>
      </c>
      <c r="P91" s="1">
        <v>0</v>
      </c>
      <c r="Q91" s="1">
        <v>6700.5390644192175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1001.3761475529478</v>
      </c>
      <c r="AB91" s="1">
        <v>2353.473822267581</v>
      </c>
      <c r="AC91" s="1">
        <v>2704.1953494292666</v>
      </c>
      <c r="AD91" s="1">
        <v>3054.9168765909526</v>
      </c>
      <c r="AE91" s="1">
        <v>3000.4735302284139</v>
      </c>
      <c r="AF91" s="1">
        <v>2946.0301838658756</v>
      </c>
      <c r="AG91" s="1">
        <v>1847.6223785450015</v>
      </c>
      <c r="AH91" s="1">
        <v>1898.9053020580614</v>
      </c>
      <c r="AI91" s="1">
        <v>1905.8640468415442</v>
      </c>
      <c r="AJ91" s="1">
        <v>1908.2844798097124</v>
      </c>
      <c r="AK91" s="1">
        <v>1929.3119912206721</v>
      </c>
      <c r="AL91" s="1">
        <v>1954.4996217956702</v>
      </c>
      <c r="AM91" s="1">
        <v>1982.5615165203678</v>
      </c>
      <c r="AN91" s="1">
        <v>2027.9446346735183</v>
      </c>
      <c r="AO91" s="1">
        <v>2032.1047538375569</v>
      </c>
      <c r="AP91" s="1">
        <v>2211.3680705424999</v>
      </c>
      <c r="AQ91" s="1">
        <v>2211.3680705424999</v>
      </c>
      <c r="AR91" s="1">
        <v>2211.3680705424999</v>
      </c>
      <c r="AS91" s="1">
        <v>2211.3680705424999</v>
      </c>
      <c r="AT91" s="1">
        <v>0</v>
      </c>
      <c r="AU91" s="1">
        <v>0</v>
      </c>
      <c r="AV91" s="1">
        <v>0</v>
      </c>
      <c r="AW91" s="1">
        <v>0</v>
      </c>
      <c r="AZ91" s="1">
        <f>1/1000000</f>
        <v>9.9999999999999995E-7</v>
      </c>
      <c r="BA91" s="22">
        <f t="shared" si="2"/>
        <v>2.2113680705424998E-3</v>
      </c>
    </row>
    <row r="92" spans="1:55" ht="16" x14ac:dyDescent="0.2">
      <c r="A92" s="3" t="s">
        <v>217</v>
      </c>
      <c r="B92" s="3" t="s">
        <v>9</v>
      </c>
      <c r="C92" s="3" t="s">
        <v>228</v>
      </c>
      <c r="D92" s="3" t="s">
        <v>229</v>
      </c>
      <c r="E92" s="3">
        <v>1</v>
      </c>
      <c r="F92" s="3" t="s">
        <v>15</v>
      </c>
      <c r="G92" s="3" t="s">
        <v>14</v>
      </c>
      <c r="H92" s="3" t="s">
        <v>25</v>
      </c>
      <c r="I92" s="6" t="s">
        <v>293</v>
      </c>
      <c r="J92" s="3" t="s">
        <v>224</v>
      </c>
      <c r="K92" s="3" t="s">
        <v>115</v>
      </c>
      <c r="L92" s="4" t="s">
        <v>231</v>
      </c>
      <c r="M92" s="3"/>
      <c r="N92" s="1">
        <v>1.9039475712364111</v>
      </c>
      <c r="O92" s="1">
        <v>1.9339101297927757</v>
      </c>
      <c r="P92" s="1">
        <v>1.9543266389317606</v>
      </c>
      <c r="Q92" s="1">
        <v>1.778093153844148</v>
      </c>
      <c r="R92" s="1">
        <v>1.7337549634192773</v>
      </c>
      <c r="S92" s="1">
        <v>1.495170340112117</v>
      </c>
      <c r="T92" s="1">
        <v>1.5659016078356969</v>
      </c>
      <c r="U92" s="1">
        <v>1.761669667818498</v>
      </c>
      <c r="V92" s="1">
        <v>1.6211535405282242</v>
      </c>
      <c r="W92" s="1">
        <v>1.7649001274388505</v>
      </c>
      <c r="X92" s="1">
        <v>2.5834350305710423</v>
      </c>
      <c r="Y92" s="1">
        <v>1.9812170391196444</v>
      </c>
      <c r="Z92" s="1">
        <v>1.9421854900765467</v>
      </c>
      <c r="AA92" s="1">
        <v>2.4257986707879473</v>
      </c>
      <c r="AB92" s="1">
        <v>2.1543394178459874</v>
      </c>
      <c r="AC92" s="1">
        <v>2.0513829539828619</v>
      </c>
      <c r="AD92" s="1">
        <v>1.4627438790651197</v>
      </c>
      <c r="AE92" s="1">
        <v>2.6598654299668958</v>
      </c>
      <c r="AF92" s="1">
        <v>1.5860187736570102</v>
      </c>
      <c r="AG92" s="1">
        <v>2.0025811101668189</v>
      </c>
      <c r="AH92" s="1">
        <v>1.9542558989075032</v>
      </c>
      <c r="AI92" s="1">
        <v>1.9004387446644084</v>
      </c>
      <c r="AJ92" s="1">
        <v>1.8615666752932585</v>
      </c>
      <c r="AK92" s="1">
        <v>1.8084468458974272</v>
      </c>
      <c r="AL92" s="1">
        <v>1.9950089175362613</v>
      </c>
      <c r="AM92" s="1">
        <v>2.1819683297098829</v>
      </c>
      <c r="AN92" s="1">
        <v>2.1662929907457982</v>
      </c>
      <c r="AO92" s="1">
        <v>2.1470801346655968</v>
      </c>
      <c r="AP92" s="1">
        <v>2.4773028122706311</v>
      </c>
      <c r="AQ92" s="1">
        <v>2.3793382365394757</v>
      </c>
      <c r="AR92" s="1">
        <v>2.2646747406569219</v>
      </c>
      <c r="AS92" s="1">
        <v>2.3804897143037391</v>
      </c>
      <c r="AT92" s="1">
        <v>0</v>
      </c>
      <c r="AU92" s="1">
        <v>0</v>
      </c>
      <c r="AV92" s="1">
        <v>0</v>
      </c>
      <c r="AW92" s="1">
        <v>0</v>
      </c>
      <c r="AZ92" s="1">
        <v>1</v>
      </c>
      <c r="BA92" s="22">
        <f t="shared" si="2"/>
        <v>2.3804897143037391</v>
      </c>
      <c r="BC92" s="21">
        <f>+BA92+BA93</f>
        <v>4.4704022264824363</v>
      </c>
    </row>
    <row r="93" spans="1:55" ht="16" x14ac:dyDescent="0.2">
      <c r="A93" s="3" t="s">
        <v>217</v>
      </c>
      <c r="B93" s="3" t="s">
        <v>9</v>
      </c>
      <c r="C93" s="3" t="s">
        <v>227</v>
      </c>
      <c r="D93" s="3" t="s">
        <v>229</v>
      </c>
      <c r="E93" s="3">
        <v>1</v>
      </c>
      <c r="F93" s="3" t="s">
        <v>15</v>
      </c>
      <c r="G93" s="3" t="s">
        <v>14</v>
      </c>
      <c r="H93" s="3" t="s">
        <v>25</v>
      </c>
      <c r="I93" s="6" t="s">
        <v>293</v>
      </c>
      <c r="J93" s="3" t="s">
        <v>218</v>
      </c>
      <c r="K93" s="3" t="s">
        <v>115</v>
      </c>
      <c r="L93" s="4" t="s">
        <v>230</v>
      </c>
      <c r="M93" s="3"/>
      <c r="N93" s="1">
        <v>3.1137562214882548</v>
      </c>
      <c r="O93" s="1">
        <v>3.2077655222875658</v>
      </c>
      <c r="P93" s="1">
        <v>3.2762210399054306</v>
      </c>
      <c r="Q93" s="1">
        <v>3.259385432541313</v>
      </c>
      <c r="R93" s="1">
        <v>3.0646429768751369</v>
      </c>
      <c r="S93" s="1">
        <v>3.0169100231876453</v>
      </c>
      <c r="T93" s="1">
        <v>3.3059030570724666</v>
      </c>
      <c r="U93" s="1">
        <v>3.3893929491686277</v>
      </c>
      <c r="V93" s="1">
        <v>3.003641102925251</v>
      </c>
      <c r="W93" s="1">
        <v>2.9082965288030596</v>
      </c>
      <c r="X93" s="1">
        <v>3.2781540969697192</v>
      </c>
      <c r="Y93" s="1">
        <v>3.1010878692516104</v>
      </c>
      <c r="Z93" s="1">
        <v>2.9286143197434469</v>
      </c>
      <c r="AA93" s="1">
        <v>2.7775812236382196</v>
      </c>
      <c r="AB93" s="1">
        <v>2.5131235214566372</v>
      </c>
      <c r="AC93" s="1">
        <v>2.4839059461350557</v>
      </c>
      <c r="AD93" s="1">
        <v>2.0515290251375542</v>
      </c>
      <c r="AE93" s="1">
        <v>2.1716599179829856</v>
      </c>
      <c r="AF93" s="1">
        <v>2.2229091790710376</v>
      </c>
      <c r="AG93" s="1">
        <v>2.2022768262518775</v>
      </c>
      <c r="AH93" s="1">
        <v>2.6529631486513696</v>
      </c>
      <c r="AI93" s="1">
        <v>2.2998052027447895</v>
      </c>
      <c r="AJ93" s="1">
        <v>1.8217445766807252</v>
      </c>
      <c r="AK93" s="1">
        <v>2.2073297760367976</v>
      </c>
      <c r="AL93" s="1">
        <v>2.5525913536161977</v>
      </c>
      <c r="AM93" s="1">
        <v>2.1119967145907261</v>
      </c>
      <c r="AN93" s="1">
        <v>1.8061561052000934</v>
      </c>
      <c r="AO93" s="1">
        <v>1.6810834715664664</v>
      </c>
      <c r="AP93" s="1">
        <v>2.1556487337252608</v>
      </c>
      <c r="AQ93" s="1">
        <v>2.0634600304046096</v>
      </c>
      <c r="AR93" s="1">
        <v>1.8593452918925337</v>
      </c>
      <c r="AS93" s="1">
        <v>2.0899125121786977</v>
      </c>
      <c r="AT93" s="1">
        <v>0</v>
      </c>
      <c r="AU93" s="1">
        <v>0</v>
      </c>
      <c r="AV93" s="1">
        <v>0</v>
      </c>
      <c r="AW93" s="1">
        <v>0</v>
      </c>
      <c r="AZ93" s="1">
        <v>1</v>
      </c>
      <c r="BA93" s="22">
        <f t="shared" si="2"/>
        <v>2.0899125121786977</v>
      </c>
    </row>
    <row r="94" spans="1:55" ht="16" x14ac:dyDescent="0.2">
      <c r="A94" s="3" t="s">
        <v>217</v>
      </c>
      <c r="B94" s="3" t="s">
        <v>17</v>
      </c>
      <c r="C94" s="3" t="s">
        <v>223</v>
      </c>
      <c r="D94" s="3" t="s">
        <v>222</v>
      </c>
      <c r="E94" s="3">
        <v>1</v>
      </c>
      <c r="F94" s="3" t="s">
        <v>15</v>
      </c>
      <c r="G94" s="3" t="s">
        <v>14</v>
      </c>
      <c r="H94" s="3" t="s">
        <v>34</v>
      </c>
      <c r="I94" s="6" t="s">
        <v>293</v>
      </c>
      <c r="J94" s="3" t="s">
        <v>225</v>
      </c>
      <c r="K94" s="7" t="s">
        <v>33</v>
      </c>
      <c r="L94" s="4">
        <v>9</v>
      </c>
      <c r="M94" s="3"/>
      <c r="N94" s="1">
        <v>1.0233937280000001E-2</v>
      </c>
      <c r="O94" s="1">
        <v>1.0512424720000002E-2</v>
      </c>
      <c r="P94" s="1">
        <v>1.066117808E-2</v>
      </c>
      <c r="Q94" s="1">
        <v>1.3780649399999999E-2</v>
      </c>
      <c r="R94" s="1">
        <v>1.330305228E-2</v>
      </c>
      <c r="S94" s="1">
        <v>1.2497346679999998E-2</v>
      </c>
      <c r="T94" s="1">
        <v>1.2956178759999999E-2</v>
      </c>
      <c r="U94" s="1">
        <v>9.932758639999999E-3</v>
      </c>
      <c r="V94" s="1">
        <v>8.9895259999999994E-3</v>
      </c>
      <c r="W94" s="1">
        <v>9.8136051999999988E-3</v>
      </c>
      <c r="X94" s="1">
        <v>1.3254292799999998E-2</v>
      </c>
      <c r="Y94" s="1">
        <v>1.0861437439999998E-2</v>
      </c>
      <c r="Z94" s="1">
        <v>1.06823332E-2</v>
      </c>
      <c r="AA94" s="1">
        <v>1.2784845639999999E-2</v>
      </c>
      <c r="AB94" s="1">
        <v>1.1656687559999998E-2</v>
      </c>
      <c r="AC94" s="1">
        <v>8.0061203599999988E-3</v>
      </c>
      <c r="AD94" s="1">
        <v>5.7770028399999999E-3</v>
      </c>
      <c r="AE94" s="1">
        <v>1.0432667839999998E-2</v>
      </c>
      <c r="AF94" s="1">
        <v>6.4197929600000002E-3</v>
      </c>
      <c r="AG94" s="1">
        <v>8.6294146399999994E-3</v>
      </c>
      <c r="AH94" s="1">
        <v>8.1831534399999985E-3</v>
      </c>
      <c r="AI94" s="1">
        <v>7.9618349999999987E-3</v>
      </c>
      <c r="AJ94" s="1">
        <v>7.4827289600000006E-3</v>
      </c>
      <c r="AK94" s="1">
        <v>7.4544441999999994E-3</v>
      </c>
      <c r="AL94" s="1">
        <v>8.099029399999999E-3</v>
      </c>
      <c r="AM94" s="1">
        <v>7.1328468399999984E-3</v>
      </c>
      <c r="AN94" s="1">
        <v>7.019259239999999E-3</v>
      </c>
      <c r="AO94" s="1">
        <v>6.9000671599999995E-3</v>
      </c>
      <c r="AP94" s="1">
        <v>7.7639875599999986E-3</v>
      </c>
      <c r="AQ94" s="1">
        <v>7.5116075999999985E-3</v>
      </c>
      <c r="AR94" s="1">
        <v>7.3316356399999996E-3</v>
      </c>
      <c r="AS94" s="1">
        <v>7.5989401599999978E-3</v>
      </c>
      <c r="AT94" s="1">
        <v>0</v>
      </c>
      <c r="AU94" s="1">
        <v>0</v>
      </c>
      <c r="AV94" s="1">
        <v>0</v>
      </c>
      <c r="AW94" s="1">
        <v>0</v>
      </c>
      <c r="AZ94" s="1">
        <v>1</v>
      </c>
      <c r="BA94" s="22">
        <f t="shared" si="2"/>
        <v>7.5989401599999978E-3</v>
      </c>
      <c r="BC94" s="21">
        <f>+BA94+BA95</f>
        <v>1.7075992079999998E-2</v>
      </c>
    </row>
    <row r="95" spans="1:55" ht="16" x14ac:dyDescent="0.2">
      <c r="A95" s="3" t="s">
        <v>217</v>
      </c>
      <c r="B95" s="3" t="s">
        <v>17</v>
      </c>
      <c r="C95" s="3" t="s">
        <v>221</v>
      </c>
      <c r="D95" s="3" t="s">
        <v>222</v>
      </c>
      <c r="E95" s="3">
        <v>1</v>
      </c>
      <c r="F95" s="3" t="s">
        <v>15</v>
      </c>
      <c r="G95" s="3" t="s">
        <v>14</v>
      </c>
      <c r="H95" s="3" t="s">
        <v>34</v>
      </c>
      <c r="I95" s="6" t="s">
        <v>293</v>
      </c>
      <c r="J95" s="3" t="s">
        <v>218</v>
      </c>
      <c r="K95" s="7" t="s">
        <v>33</v>
      </c>
      <c r="L95" s="4">
        <v>6</v>
      </c>
      <c r="M95" s="3"/>
      <c r="N95" s="1">
        <v>5.1371531120000001E-2</v>
      </c>
      <c r="O95" s="1">
        <v>5.3716726280000009E-2</v>
      </c>
      <c r="P95" s="1">
        <v>5.6211619520000006E-2</v>
      </c>
      <c r="Q95" s="1">
        <v>7.3677527000000007E-2</v>
      </c>
      <c r="R95" s="1">
        <v>6.9841347799999995E-2</v>
      </c>
      <c r="S95" s="1">
        <v>6.9823095719999992E-2</v>
      </c>
      <c r="T95" s="1">
        <v>7.2871606359999994E-2</v>
      </c>
      <c r="U95" s="1">
        <v>3.9948200599999997E-2</v>
      </c>
      <c r="V95" s="1">
        <v>3.5682364479999999E-2</v>
      </c>
      <c r="W95" s="1">
        <v>3.640763251999999E-2</v>
      </c>
      <c r="X95" s="1">
        <v>3.9630841320000006E-2</v>
      </c>
      <c r="Y95" s="1">
        <v>3.6477484679999998E-2</v>
      </c>
      <c r="Z95" s="1">
        <v>3.6055520199999996E-2</v>
      </c>
      <c r="AA95" s="1">
        <v>3.7082208799999995E-2</v>
      </c>
      <c r="AB95" s="1">
        <v>3.7126864599999997E-2</v>
      </c>
      <c r="AC95" s="1">
        <v>1.8473112839999997E-2</v>
      </c>
      <c r="AD95" s="1">
        <v>1.6059355760000001E-2</v>
      </c>
      <c r="AE95" s="1">
        <v>1.731806524E-2</v>
      </c>
      <c r="AF95" s="1">
        <v>1.8898043079999999E-2</v>
      </c>
      <c r="AG95" s="1">
        <v>2.472159396E-2</v>
      </c>
      <c r="AH95" s="1">
        <v>2.7158283879999998E-2</v>
      </c>
      <c r="AI95" s="1">
        <v>2.5648304080000003E-2</v>
      </c>
      <c r="AJ95" s="1">
        <v>2.1120162839999998E-2</v>
      </c>
      <c r="AK95" s="1">
        <v>2.708413372E-2</v>
      </c>
      <c r="AL95" s="1">
        <v>2.8251038199999998E-2</v>
      </c>
      <c r="AM95" s="1">
        <v>1.1537094519999999E-2</v>
      </c>
      <c r="AN95" s="1">
        <v>8.8250940400000002E-3</v>
      </c>
      <c r="AO95" s="1">
        <v>7.7791120399999985E-3</v>
      </c>
      <c r="AP95" s="1">
        <v>1.0218780599999998E-2</v>
      </c>
      <c r="AQ95" s="1">
        <v>9.9660282399999991E-3</v>
      </c>
      <c r="AR95" s="1">
        <v>8.7489021200000006E-3</v>
      </c>
      <c r="AS95" s="1">
        <v>9.4770519199999983E-3</v>
      </c>
      <c r="AT95" s="1">
        <v>0</v>
      </c>
      <c r="AU95" s="1">
        <v>0</v>
      </c>
      <c r="AV95" s="1">
        <v>0</v>
      </c>
      <c r="AW95" s="1">
        <v>0</v>
      </c>
      <c r="AZ95" s="1">
        <v>1</v>
      </c>
      <c r="BA95" s="22">
        <f t="shared" si="2"/>
        <v>9.4770519199999983E-3</v>
      </c>
    </row>
    <row r="96" spans="1:55" ht="16" x14ac:dyDescent="0.2">
      <c r="A96" s="3" t="s">
        <v>217</v>
      </c>
      <c r="B96" s="3" t="s">
        <v>3</v>
      </c>
      <c r="C96" s="3" t="s">
        <v>226</v>
      </c>
      <c r="D96" s="3" t="s">
        <v>220</v>
      </c>
      <c r="E96" s="3">
        <v>1</v>
      </c>
      <c r="F96" s="3" t="s">
        <v>15</v>
      </c>
      <c r="G96" s="3" t="s">
        <v>14</v>
      </c>
      <c r="H96" s="3" t="s">
        <v>34</v>
      </c>
      <c r="I96" s="6" t="s">
        <v>293</v>
      </c>
      <c r="J96" s="3" t="s">
        <v>224</v>
      </c>
      <c r="K96" s="7" t="s">
        <v>37</v>
      </c>
      <c r="L96" s="4">
        <v>8</v>
      </c>
      <c r="M96" s="3"/>
      <c r="N96" s="1">
        <v>2.3819047999999996E-3</v>
      </c>
      <c r="O96" s="1">
        <v>2.4086088499999997E-3</v>
      </c>
      <c r="P96" s="1">
        <v>2.2206310999999999E-3</v>
      </c>
      <c r="Q96" s="1">
        <v>2.6069825499999994E-3</v>
      </c>
      <c r="R96" s="1">
        <v>2.5451606999999997E-3</v>
      </c>
      <c r="S96" s="1">
        <v>2.1050698999999997E-3</v>
      </c>
      <c r="T96" s="1">
        <v>2.07845595E-3</v>
      </c>
      <c r="U96" s="1">
        <v>1.8479563000000001E-3</v>
      </c>
      <c r="V96" s="1">
        <v>1.7646985999999999E-3</v>
      </c>
      <c r="W96" s="1">
        <v>2.1443137500000002E-3</v>
      </c>
      <c r="X96" s="1">
        <v>3.8584609499999994E-3</v>
      </c>
      <c r="Y96" s="1">
        <v>2.7002121999999996E-3</v>
      </c>
      <c r="Z96" s="1">
        <v>2.4857768499999999E-3</v>
      </c>
      <c r="AA96" s="1">
        <v>3.6064273999999994E-3</v>
      </c>
      <c r="AB96" s="1">
        <v>3.0433209499999992E-3</v>
      </c>
      <c r="AC96" s="1">
        <v>2.35149605E-3</v>
      </c>
      <c r="AD96" s="1">
        <v>1.3079127999999999E-3</v>
      </c>
      <c r="AE96" s="1">
        <v>3.815599849999999E-3</v>
      </c>
      <c r="AF96" s="1">
        <v>1.5465240999999999E-3</v>
      </c>
      <c r="AG96" s="1">
        <v>2.4657640499999999E-3</v>
      </c>
      <c r="AH96" s="1">
        <v>2.0563655500000001E-3</v>
      </c>
      <c r="AI96" s="1">
        <v>2.04163685E-3</v>
      </c>
      <c r="AJ96" s="1">
        <v>1.8934329499999999E-3</v>
      </c>
      <c r="AK96" s="1">
        <v>1.5833379000000003E-3</v>
      </c>
      <c r="AL96" s="1">
        <v>1.7594091999999998E-3</v>
      </c>
      <c r="AM96" s="1">
        <v>2.05898905E-3</v>
      </c>
      <c r="AN96" s="1">
        <v>2.1378424499999995E-3</v>
      </c>
      <c r="AO96" s="1">
        <v>2.1502311999999995E-3</v>
      </c>
      <c r="AP96" s="1">
        <v>2.2644965499999999E-3</v>
      </c>
      <c r="AQ96" s="1">
        <v>2.2381052000000003E-3</v>
      </c>
      <c r="AR96" s="1">
        <v>2.2894595499999997E-3</v>
      </c>
      <c r="AS96" s="1">
        <v>2.2843874499999996E-3</v>
      </c>
      <c r="AT96" s="1">
        <v>0</v>
      </c>
      <c r="AU96" s="1">
        <v>0</v>
      </c>
      <c r="AV96" s="1">
        <v>0</v>
      </c>
      <c r="AW96" s="1">
        <v>0</v>
      </c>
      <c r="AZ96" s="1">
        <v>1</v>
      </c>
      <c r="BA96" s="22">
        <f t="shared" si="2"/>
        <v>2.2843874499999996E-3</v>
      </c>
      <c r="BC96" s="21">
        <f>+BA96+BA97</f>
        <v>4.0044043999999997E-3</v>
      </c>
    </row>
    <row r="97" spans="1:55" ht="16" x14ac:dyDescent="0.2">
      <c r="A97" s="3" t="s">
        <v>217</v>
      </c>
      <c r="B97" s="3" t="s">
        <v>3</v>
      </c>
      <c r="C97" s="3" t="s">
        <v>219</v>
      </c>
      <c r="D97" s="3" t="s">
        <v>220</v>
      </c>
      <c r="E97" s="3">
        <v>1</v>
      </c>
      <c r="F97" s="3" t="s">
        <v>15</v>
      </c>
      <c r="G97" s="3" t="s">
        <v>14</v>
      </c>
      <c r="H97" s="3" t="s">
        <v>34</v>
      </c>
      <c r="I97" s="6" t="s">
        <v>293</v>
      </c>
      <c r="J97" s="3" t="s">
        <v>218</v>
      </c>
      <c r="K97" s="7" t="s">
        <v>37</v>
      </c>
      <c r="L97" s="4">
        <v>5</v>
      </c>
      <c r="M97" s="3"/>
      <c r="N97" s="1">
        <v>7.202564849999999E-3</v>
      </c>
      <c r="O97" s="1">
        <v>7.5273037999999994E-3</v>
      </c>
      <c r="P97" s="1">
        <v>7.9348499499999978E-3</v>
      </c>
      <c r="Q97" s="1">
        <v>1.000401765E-2</v>
      </c>
      <c r="R97" s="1">
        <v>9.4916745999999979E-3</v>
      </c>
      <c r="S97" s="1">
        <v>9.4466934999999988E-3</v>
      </c>
      <c r="T97" s="1">
        <v>9.9472917499999983E-3</v>
      </c>
      <c r="U97" s="1">
        <v>5.8798782999999995E-3</v>
      </c>
      <c r="V97" s="1">
        <v>5.4254986999999998E-3</v>
      </c>
      <c r="W97" s="1">
        <v>5.7331053999999998E-3</v>
      </c>
      <c r="X97" s="1">
        <v>6.2979131500000007E-3</v>
      </c>
      <c r="Y97" s="1">
        <v>5.8222248999999998E-3</v>
      </c>
      <c r="Z97" s="1">
        <v>5.3718467999999998E-3</v>
      </c>
      <c r="AA97" s="1">
        <v>5.3939689999999993E-3</v>
      </c>
      <c r="AB97" s="1">
        <v>5.3351071999999987E-3</v>
      </c>
      <c r="AC97" s="1">
        <v>3.0376632E-3</v>
      </c>
      <c r="AD97" s="1">
        <v>2.68572465E-3</v>
      </c>
      <c r="AE97" s="1">
        <v>2.71934255E-3</v>
      </c>
      <c r="AF97" s="1">
        <v>3.0001868999999996E-3</v>
      </c>
      <c r="AG97" s="1">
        <v>3.7938936999999998E-3</v>
      </c>
      <c r="AH97" s="1">
        <v>4.1074814500000004E-3</v>
      </c>
      <c r="AI97" s="1">
        <v>3.8526866000000003E-3</v>
      </c>
      <c r="AJ97" s="1">
        <v>3.1068441000000001E-3</v>
      </c>
      <c r="AK97" s="1">
        <v>3.9196653499999996E-3</v>
      </c>
      <c r="AL97" s="1">
        <v>4.1497171500000001E-3</v>
      </c>
      <c r="AM97" s="1">
        <v>1.9483382999999999E-3</v>
      </c>
      <c r="AN97" s="1">
        <v>1.5529423999999998E-3</v>
      </c>
      <c r="AO97" s="1">
        <v>1.407256E-3</v>
      </c>
      <c r="AP97" s="1">
        <v>1.7803335999999996E-3</v>
      </c>
      <c r="AQ97" s="1">
        <v>1.75983055E-3</v>
      </c>
      <c r="AR97" s="1">
        <v>1.5854446500000001E-3</v>
      </c>
      <c r="AS97" s="1">
        <v>1.7200169499999999E-3</v>
      </c>
      <c r="AT97" s="1">
        <v>0</v>
      </c>
      <c r="AU97" s="1">
        <v>0</v>
      </c>
      <c r="AV97" s="1">
        <v>0</v>
      </c>
      <c r="AW97" s="1">
        <v>0</v>
      </c>
      <c r="AZ97" s="1">
        <v>1</v>
      </c>
      <c r="BA97" s="22">
        <f t="shared" si="2"/>
        <v>1.7200169499999999E-3</v>
      </c>
    </row>
    <row r="98" spans="1:55" ht="16" x14ac:dyDescent="0.2">
      <c r="A98" s="3" t="s">
        <v>45</v>
      </c>
      <c r="B98" s="3" t="s">
        <v>9</v>
      </c>
      <c r="C98" s="3" t="s">
        <v>44</v>
      </c>
      <c r="D98" s="3" t="s">
        <v>43</v>
      </c>
      <c r="E98" s="3">
        <v>1</v>
      </c>
      <c r="F98" s="3" t="s">
        <v>15</v>
      </c>
      <c r="G98" s="3" t="s">
        <v>14</v>
      </c>
      <c r="H98" s="3" t="s">
        <v>25</v>
      </c>
      <c r="I98" s="6" t="s">
        <v>293</v>
      </c>
      <c r="J98" s="3" t="s">
        <v>42</v>
      </c>
      <c r="K98" s="7" t="s">
        <v>41</v>
      </c>
      <c r="L98" s="4" t="s">
        <v>40</v>
      </c>
      <c r="M98" s="3"/>
      <c r="N98" s="1">
        <v>48.91168584720738</v>
      </c>
      <c r="O98" s="1">
        <v>51.446063101384098</v>
      </c>
      <c r="P98" s="1">
        <v>51.553362032161068</v>
      </c>
      <c r="Q98" s="1">
        <v>51.367388043348839</v>
      </c>
      <c r="R98" s="1">
        <v>53.988136564335562</v>
      </c>
      <c r="S98" s="1">
        <v>54.011270891475831</v>
      </c>
      <c r="T98" s="1">
        <v>59.321829399042329</v>
      </c>
      <c r="U98" s="1">
        <v>56.680433450508282</v>
      </c>
      <c r="V98" s="1">
        <v>55.479621404916841</v>
      </c>
      <c r="W98" s="1">
        <v>55.335840644291324</v>
      </c>
      <c r="X98" s="1">
        <v>61.297394189919501</v>
      </c>
      <c r="Y98" s="1">
        <v>53.66525101310215</v>
      </c>
      <c r="Z98" s="1">
        <v>54.982930100342898</v>
      </c>
      <c r="AA98" s="1">
        <v>55.005590308375076</v>
      </c>
      <c r="AB98" s="1">
        <v>53.773543208280266</v>
      </c>
      <c r="AC98" s="1">
        <v>51.056464859763175</v>
      </c>
      <c r="AD98" s="1">
        <v>54.990933660778481</v>
      </c>
      <c r="AE98" s="1">
        <v>50.545229204792761</v>
      </c>
      <c r="AF98" s="1">
        <v>47.438193027823999</v>
      </c>
      <c r="AG98" s="1">
        <v>46.719588463077201</v>
      </c>
      <c r="AH98" s="1">
        <v>42.249841550930377</v>
      </c>
      <c r="AI98" s="1">
        <v>43.272243096911389</v>
      </c>
      <c r="AJ98" s="1">
        <v>39.135250821669636</v>
      </c>
      <c r="AK98" s="1">
        <v>38.044233980810873</v>
      </c>
      <c r="AL98" s="1">
        <v>36.146866983084735</v>
      </c>
      <c r="AM98" s="1">
        <v>36.838766928774717</v>
      </c>
      <c r="AN98" s="1">
        <v>38.217068495835861</v>
      </c>
      <c r="AO98" s="1">
        <v>41.295889764987628</v>
      </c>
      <c r="AP98" s="1">
        <v>38.120758176830073</v>
      </c>
      <c r="AQ98" s="1">
        <v>40.512744758263487</v>
      </c>
      <c r="AR98" s="1">
        <v>39.234403301351925</v>
      </c>
      <c r="AS98" s="1">
        <v>44.889634254650012</v>
      </c>
      <c r="AT98" s="1">
        <v>0</v>
      </c>
      <c r="AU98" s="1">
        <v>0</v>
      </c>
      <c r="AV98" s="1">
        <v>0</v>
      </c>
      <c r="AW98" s="1">
        <v>0</v>
      </c>
      <c r="AZ98" s="1">
        <v>1</v>
      </c>
      <c r="BA98" s="22">
        <f t="shared" si="2"/>
        <v>44.889634254650012</v>
      </c>
    </row>
    <row r="99" spans="1:55" ht="16" x14ac:dyDescent="0.2">
      <c r="A99" s="3" t="s">
        <v>45</v>
      </c>
      <c r="B99" s="3" t="s">
        <v>17</v>
      </c>
      <c r="C99" s="3" t="s">
        <v>65</v>
      </c>
      <c r="D99" s="3" t="s">
        <v>51</v>
      </c>
      <c r="E99" s="3">
        <v>1</v>
      </c>
      <c r="F99" s="3" t="s">
        <v>18</v>
      </c>
      <c r="G99" s="3" t="s">
        <v>14</v>
      </c>
      <c r="H99" s="3" t="s">
        <v>48</v>
      </c>
      <c r="I99" s="12" t="s">
        <v>306</v>
      </c>
      <c r="J99" s="3" t="s">
        <v>47</v>
      </c>
      <c r="K99" s="3" t="s">
        <v>63</v>
      </c>
      <c r="L99" s="4">
        <v>73</v>
      </c>
      <c r="M99" s="3"/>
      <c r="N99" s="1">
        <v>8846.4406854902409</v>
      </c>
      <c r="O99" s="1">
        <v>10657.31654119104</v>
      </c>
      <c r="P99" s="1">
        <v>9001.0628340393596</v>
      </c>
      <c r="Q99" s="1">
        <v>9536.7121075363193</v>
      </c>
      <c r="R99" s="1">
        <v>10995.194383776963</v>
      </c>
      <c r="S99" s="1">
        <v>9585.7489718793568</v>
      </c>
      <c r="T99" s="1">
        <v>9590.172906847678</v>
      </c>
      <c r="U99" s="1">
        <v>10174.340099797437</v>
      </c>
      <c r="V99" s="1">
        <v>9454.5693679718388</v>
      </c>
      <c r="W99" s="1">
        <v>11171.792348559362</v>
      </c>
      <c r="X99" s="1">
        <v>11571.458081003519</v>
      </c>
      <c r="Y99" s="1">
        <v>12960.739062190079</v>
      </c>
      <c r="Z99" s="1">
        <v>12089.023631247361</v>
      </c>
      <c r="AA99" s="1">
        <v>12557.986740418561</v>
      </c>
      <c r="AB99" s="1">
        <v>11466.0934370304</v>
      </c>
      <c r="AC99" s="1">
        <v>9177.8630458368007</v>
      </c>
      <c r="AD99" s="1">
        <v>7644.5557805568014</v>
      </c>
      <c r="AE99" s="1">
        <v>7093.435060992002</v>
      </c>
      <c r="AF99" s="1">
        <v>6538.655215733761</v>
      </c>
      <c r="AG99" s="1">
        <v>5452.38523124736</v>
      </c>
      <c r="AH99" s="1">
        <v>1967.3060716646401</v>
      </c>
      <c r="AI99" s="1">
        <v>2040.0348158668801</v>
      </c>
      <c r="AJ99" s="1">
        <v>2100.9412058879993</v>
      </c>
      <c r="AK99" s="1">
        <v>1864.0619016499202</v>
      </c>
      <c r="AL99" s="1">
        <v>1764.37648654848</v>
      </c>
      <c r="AM99" s="1">
        <v>1766.0936332032002</v>
      </c>
      <c r="AN99" s="1">
        <v>1681.3118507673603</v>
      </c>
      <c r="AO99" s="1">
        <v>1732.7749996032003</v>
      </c>
      <c r="AP99" s="1">
        <v>1768.5269228390398</v>
      </c>
      <c r="AQ99" s="1">
        <v>1831.5390143232003</v>
      </c>
      <c r="AR99" s="1">
        <v>1225.4247434956801</v>
      </c>
      <c r="AS99" s="1">
        <v>1341.4876122009603</v>
      </c>
      <c r="AT99" s="1">
        <v>0</v>
      </c>
      <c r="AU99" s="1">
        <v>0</v>
      </c>
      <c r="AV99" s="1">
        <v>0</v>
      </c>
      <c r="AW99" s="1">
        <v>0</v>
      </c>
      <c r="AZ99" s="1">
        <f t="shared" ref="AZ99:AZ110" si="3">1/1000000</f>
        <v>9.9999999999999995E-7</v>
      </c>
      <c r="BA99" s="22">
        <f t="shared" si="2"/>
        <v>1.3414876122009602E-3</v>
      </c>
      <c r="BC99" s="21">
        <f>+BA99+BA100+BA101+BA102+BA103+BA104</f>
        <v>5.8546901572985019E-2</v>
      </c>
    </row>
    <row r="100" spans="1:55" ht="16" x14ac:dyDescent="0.2">
      <c r="A100" s="3" t="s">
        <v>45</v>
      </c>
      <c r="B100" s="3" t="s">
        <v>17</v>
      </c>
      <c r="C100" s="3" t="s">
        <v>62</v>
      </c>
      <c r="D100" s="3" t="s">
        <v>51</v>
      </c>
      <c r="E100" s="3">
        <v>1</v>
      </c>
      <c r="F100" s="3" t="s">
        <v>18</v>
      </c>
      <c r="G100" s="3" t="s">
        <v>14</v>
      </c>
      <c r="H100" s="3" t="s">
        <v>48</v>
      </c>
      <c r="I100" s="12" t="s">
        <v>306</v>
      </c>
      <c r="J100" s="3" t="s">
        <v>60</v>
      </c>
      <c r="K100" s="7" t="s">
        <v>59</v>
      </c>
      <c r="L100" s="4">
        <v>62</v>
      </c>
      <c r="M100" s="3"/>
      <c r="N100" s="1">
        <v>386.4003161607622</v>
      </c>
      <c r="O100" s="1">
        <v>353.29017659141948</v>
      </c>
      <c r="P100" s="1">
        <v>344.58769600986773</v>
      </c>
      <c r="Q100" s="1">
        <v>369.93396152509962</v>
      </c>
      <c r="R100" s="1">
        <v>380.5410013432234</v>
      </c>
      <c r="S100" s="1">
        <v>405.33494468471531</v>
      </c>
      <c r="T100" s="1">
        <v>358.51473051006798</v>
      </c>
      <c r="U100" s="1">
        <v>337.71385473829946</v>
      </c>
      <c r="V100" s="1">
        <v>336.17714583132704</v>
      </c>
      <c r="W100" s="1">
        <v>361.61713490619314</v>
      </c>
      <c r="X100" s="1">
        <v>341.10350393503484</v>
      </c>
      <c r="Y100" s="1">
        <v>294.77512511889233</v>
      </c>
      <c r="Z100" s="1">
        <v>296.43899856257815</v>
      </c>
      <c r="AA100" s="1">
        <v>293.44393663312906</v>
      </c>
      <c r="AB100" s="1">
        <v>300.65685616469472</v>
      </c>
      <c r="AC100" s="1">
        <v>301.66290833321034</v>
      </c>
      <c r="AD100" s="1">
        <v>292.97313368616341</v>
      </c>
      <c r="AE100" s="1">
        <v>200.79570216957816</v>
      </c>
      <c r="AF100" s="1">
        <v>171.6100927138985</v>
      </c>
      <c r="AG100" s="1">
        <v>229.78209352664024</v>
      </c>
      <c r="AH100" s="1">
        <v>188.13569557224534</v>
      </c>
      <c r="AI100" s="1">
        <v>179.12785440705747</v>
      </c>
      <c r="AJ100" s="1">
        <v>180.4642184112522</v>
      </c>
      <c r="AK100" s="1">
        <v>153.59716525118122</v>
      </c>
      <c r="AL100" s="1">
        <v>130.8640262995213</v>
      </c>
      <c r="AM100" s="1">
        <v>109.57930315625225</v>
      </c>
      <c r="AN100" s="1">
        <v>99.202964118376812</v>
      </c>
      <c r="AO100" s="1">
        <v>87.181224872040559</v>
      </c>
      <c r="AP100" s="1">
        <v>75.445722912869385</v>
      </c>
      <c r="AQ100" s="1">
        <v>105.8083342857233</v>
      </c>
      <c r="AR100" s="1">
        <v>89.933983871328337</v>
      </c>
      <c r="AS100" s="1">
        <v>199.71388698032968</v>
      </c>
      <c r="AT100" s="1">
        <v>0</v>
      </c>
      <c r="AU100" s="1">
        <v>0</v>
      </c>
      <c r="AV100" s="1">
        <v>0</v>
      </c>
      <c r="AW100" s="1">
        <v>0</v>
      </c>
      <c r="AZ100" s="1">
        <f t="shared" si="3"/>
        <v>9.9999999999999995E-7</v>
      </c>
      <c r="BA100" s="22">
        <f t="shared" si="2"/>
        <v>1.9971388698032967E-4</v>
      </c>
    </row>
    <row r="101" spans="1:55" ht="16" x14ac:dyDescent="0.2">
      <c r="A101" s="3" t="s">
        <v>45</v>
      </c>
      <c r="B101" s="3" t="s">
        <v>17</v>
      </c>
      <c r="C101" s="3" t="s">
        <v>52</v>
      </c>
      <c r="D101" s="3" t="s">
        <v>51</v>
      </c>
      <c r="E101" s="3">
        <v>1</v>
      </c>
      <c r="F101" s="3" t="s">
        <v>18</v>
      </c>
      <c r="G101" s="3" t="s">
        <v>14</v>
      </c>
      <c r="H101" s="3" t="s">
        <v>48</v>
      </c>
      <c r="I101" s="12" t="s">
        <v>306</v>
      </c>
      <c r="J101" s="3" t="s">
        <v>47</v>
      </c>
      <c r="K101" s="7" t="s">
        <v>46</v>
      </c>
      <c r="L101" s="4">
        <v>70</v>
      </c>
      <c r="M101" s="3"/>
      <c r="N101" s="1">
        <v>1545.2687250000001</v>
      </c>
      <c r="O101" s="1">
        <v>1794.4426499999997</v>
      </c>
      <c r="P101" s="1">
        <v>1135.6845499999999</v>
      </c>
      <c r="Q101" s="1">
        <v>921.17024999999978</v>
      </c>
      <c r="R101" s="1">
        <v>766.21544999999992</v>
      </c>
      <c r="S101" s="1">
        <v>446.09564999999998</v>
      </c>
      <c r="T101" s="1">
        <v>594.8692749999999</v>
      </c>
      <c r="U101" s="1">
        <v>439.81437499999998</v>
      </c>
      <c r="V101" s="1">
        <v>510.00949999999995</v>
      </c>
      <c r="W101" s="1">
        <v>674.19852500000002</v>
      </c>
      <c r="X101" s="1">
        <v>1109.082975</v>
      </c>
      <c r="Y101" s="1">
        <v>1531.2296999999999</v>
      </c>
      <c r="Z101" s="1">
        <v>1305.8795749999999</v>
      </c>
      <c r="AA101" s="1">
        <v>1349.0977500000001</v>
      </c>
      <c r="AB101" s="1">
        <v>1159.2831249999999</v>
      </c>
      <c r="AC101" s="1">
        <v>894.94404999999995</v>
      </c>
      <c r="AD101" s="1">
        <v>1455.8544000000002</v>
      </c>
      <c r="AE101" s="1">
        <v>1496.7953</v>
      </c>
      <c r="AF101" s="1">
        <v>896.67077500000005</v>
      </c>
      <c r="AG101" s="1">
        <v>577.90232500000002</v>
      </c>
      <c r="AH101" s="1">
        <v>876.80092500000001</v>
      </c>
      <c r="AI101" s="1">
        <v>1177.3762000000002</v>
      </c>
      <c r="AJ101" s="1">
        <v>772.62184999999999</v>
      </c>
      <c r="AK101" s="1">
        <v>922.596675</v>
      </c>
      <c r="AL101" s="1">
        <v>1130.9548249999998</v>
      </c>
      <c r="AM101" s="1">
        <v>1407.8063999999999</v>
      </c>
      <c r="AN101" s="1">
        <v>1064.3132500000002</v>
      </c>
      <c r="AO101" s="1">
        <v>547.72217500000011</v>
      </c>
      <c r="AP101" s="1">
        <v>627.75212499999998</v>
      </c>
      <c r="AQ101" s="1">
        <v>805.37957500000005</v>
      </c>
      <c r="AR101" s="1">
        <v>285.98570000000001</v>
      </c>
      <c r="AS101" s="1">
        <v>285.98570000000001</v>
      </c>
      <c r="AT101" s="1">
        <v>0</v>
      </c>
      <c r="AU101" s="1">
        <v>0</v>
      </c>
      <c r="AV101" s="1">
        <v>0</v>
      </c>
      <c r="AW101" s="1">
        <v>0</v>
      </c>
      <c r="AZ101" s="1">
        <f t="shared" si="3"/>
        <v>9.9999999999999995E-7</v>
      </c>
      <c r="BA101" s="22">
        <f t="shared" si="2"/>
        <v>2.8598570000000002E-4</v>
      </c>
    </row>
    <row r="102" spans="1:55" ht="16" x14ac:dyDescent="0.2">
      <c r="A102" s="3" t="s">
        <v>45</v>
      </c>
      <c r="B102" s="3" t="s">
        <v>17</v>
      </c>
      <c r="C102" s="3" t="s">
        <v>58</v>
      </c>
      <c r="D102" s="3" t="s">
        <v>51</v>
      </c>
      <c r="E102" s="3">
        <v>1</v>
      </c>
      <c r="F102" s="3" t="s">
        <v>18</v>
      </c>
      <c r="G102" s="3" t="s">
        <v>14</v>
      </c>
      <c r="H102" s="3" t="s">
        <v>48</v>
      </c>
      <c r="I102" s="12" t="s">
        <v>306</v>
      </c>
      <c r="J102" s="3" t="s">
        <v>55</v>
      </c>
      <c r="K102" s="7" t="s">
        <v>54</v>
      </c>
      <c r="L102" s="4" t="s">
        <v>57</v>
      </c>
      <c r="M102" s="3"/>
      <c r="N102" s="1">
        <v>6646.5295410076269</v>
      </c>
      <c r="O102" s="1">
        <v>6404.5401721681365</v>
      </c>
      <c r="P102" s="1">
        <v>5689.6138217890684</v>
      </c>
      <c r="Q102" s="1">
        <v>5815.3793887969659</v>
      </c>
      <c r="R102" s="1">
        <v>5903.2955424507218</v>
      </c>
      <c r="S102" s="1">
        <v>5809.5670738900826</v>
      </c>
      <c r="T102" s="1">
        <v>5345.7578352750807</v>
      </c>
      <c r="U102" s="1">
        <v>4870.2166676198849</v>
      </c>
      <c r="V102" s="1">
        <v>4515.6155067130085</v>
      </c>
      <c r="W102" s="1">
        <v>4172.911652960438</v>
      </c>
      <c r="X102" s="1">
        <v>3457.4071321379961</v>
      </c>
      <c r="Y102" s="1">
        <v>2724.6139293197361</v>
      </c>
      <c r="Z102" s="1">
        <v>2686.2335754292667</v>
      </c>
      <c r="AA102" s="1">
        <v>2578.8112555672051</v>
      </c>
      <c r="AB102" s="1">
        <v>2436.1876580006037</v>
      </c>
      <c r="AC102" s="1">
        <v>2246.8192142145454</v>
      </c>
      <c r="AD102" s="1">
        <v>1028.3454681766959</v>
      </c>
      <c r="AE102" s="1">
        <v>1197.6379788525358</v>
      </c>
      <c r="AF102" s="1">
        <v>1284.4544612842647</v>
      </c>
      <c r="AG102" s="1">
        <v>1627.8640270024125</v>
      </c>
      <c r="AH102" s="1">
        <v>1578.5889457750898</v>
      </c>
      <c r="AI102" s="1">
        <v>1584.2814307218964</v>
      </c>
      <c r="AJ102" s="1">
        <v>1626.5991322420884</v>
      </c>
      <c r="AK102" s="1">
        <v>1699.3676287941125</v>
      </c>
      <c r="AL102" s="1">
        <v>1776.5536829360733</v>
      </c>
      <c r="AM102" s="1">
        <v>1746.3343358942354</v>
      </c>
      <c r="AN102" s="1">
        <v>2410.0425073431993</v>
      </c>
      <c r="AO102" s="1">
        <v>2391.0524323433442</v>
      </c>
      <c r="AP102" s="1">
        <v>2474.5200320366157</v>
      </c>
      <c r="AQ102" s="1">
        <v>2587.5681403140093</v>
      </c>
      <c r="AR102" s="1">
        <v>2044.3732466479541</v>
      </c>
      <c r="AS102" s="1">
        <v>2650.1892110514455</v>
      </c>
      <c r="AT102" s="1">
        <v>0</v>
      </c>
      <c r="AU102" s="1">
        <v>0</v>
      </c>
      <c r="AV102" s="1">
        <v>0</v>
      </c>
      <c r="AW102" s="1">
        <v>0</v>
      </c>
      <c r="AZ102" s="1">
        <f t="shared" si="3"/>
        <v>9.9999999999999995E-7</v>
      </c>
      <c r="BA102" s="22">
        <f t="shared" si="2"/>
        <v>2.6501892110514453E-3</v>
      </c>
    </row>
    <row r="103" spans="1:55" ht="16" x14ac:dyDescent="0.2">
      <c r="A103" s="3" t="s">
        <v>45</v>
      </c>
      <c r="B103" s="3" t="s">
        <v>17</v>
      </c>
      <c r="C103" s="3" t="s">
        <v>70</v>
      </c>
      <c r="D103" s="3" t="s">
        <v>51</v>
      </c>
      <c r="E103" s="3">
        <v>1</v>
      </c>
      <c r="F103" s="3" t="s">
        <v>18</v>
      </c>
      <c r="G103" s="3" t="s">
        <v>14</v>
      </c>
      <c r="H103" s="3" t="s">
        <v>48</v>
      </c>
      <c r="I103" s="12" t="s">
        <v>306</v>
      </c>
      <c r="J103" s="3" t="s">
        <v>55</v>
      </c>
      <c r="K103" s="7" t="s">
        <v>67</v>
      </c>
      <c r="L103" s="4" t="s">
        <v>69</v>
      </c>
      <c r="M103" s="3"/>
      <c r="N103" s="1">
        <v>97975.129250236438</v>
      </c>
      <c r="O103" s="1">
        <v>85822.774833986594</v>
      </c>
      <c r="P103" s="1">
        <v>80492.177762033025</v>
      </c>
      <c r="Q103" s="1">
        <v>82961.034115696893</v>
      </c>
      <c r="R103" s="1">
        <v>81354.007674572538</v>
      </c>
      <c r="S103" s="1">
        <v>79968.900605616625</v>
      </c>
      <c r="T103" s="1">
        <v>74758.506040695138</v>
      </c>
      <c r="U103" s="1">
        <v>71388.409047443085</v>
      </c>
      <c r="V103" s="1">
        <v>69304.629929476403</v>
      </c>
      <c r="W103" s="1">
        <v>59053.684900795313</v>
      </c>
      <c r="X103" s="1">
        <v>53222.200307810046</v>
      </c>
      <c r="Y103" s="1">
        <v>48823.677093623133</v>
      </c>
      <c r="Z103" s="1">
        <v>45994.713807503198</v>
      </c>
      <c r="AA103" s="1">
        <v>42638.793613944224</v>
      </c>
      <c r="AB103" s="1">
        <v>38829.414040367454</v>
      </c>
      <c r="AC103" s="1">
        <v>35682.833540702202</v>
      </c>
      <c r="AD103" s="1">
        <v>35598.639099706714</v>
      </c>
      <c r="AE103" s="1">
        <v>30497.323570471275</v>
      </c>
      <c r="AF103" s="1">
        <v>28173.902957665774</v>
      </c>
      <c r="AG103" s="1">
        <v>25220.725192997263</v>
      </c>
      <c r="AH103" s="1">
        <v>24188.015204311225</v>
      </c>
      <c r="AI103" s="1">
        <v>23708.030843722456</v>
      </c>
      <c r="AJ103" s="1">
        <v>21157.02020630848</v>
      </c>
      <c r="AK103" s="1">
        <v>19354.107303475066</v>
      </c>
      <c r="AL103" s="1">
        <v>17487.5347676661</v>
      </c>
      <c r="AM103" s="1">
        <v>15691.712846672752</v>
      </c>
      <c r="AN103" s="1">
        <v>14557.436137545528</v>
      </c>
      <c r="AO103" s="1">
        <v>13262.036084766429</v>
      </c>
      <c r="AP103" s="1">
        <v>12342.914800004281</v>
      </c>
      <c r="AQ103" s="1">
        <v>13419.798210218496</v>
      </c>
      <c r="AR103" s="1">
        <v>12039.482136617871</v>
      </c>
      <c r="AS103" s="1">
        <v>12416.383098436871</v>
      </c>
      <c r="AT103" s="1">
        <v>0</v>
      </c>
      <c r="AU103" s="1">
        <v>0</v>
      </c>
      <c r="AV103" s="1">
        <v>0</v>
      </c>
      <c r="AW103" s="1">
        <v>0</v>
      </c>
      <c r="AZ103" s="1">
        <f t="shared" si="3"/>
        <v>9.9999999999999995E-7</v>
      </c>
      <c r="BA103" s="22">
        <f t="shared" si="2"/>
        <v>1.2416383098436869E-2</v>
      </c>
    </row>
    <row r="104" spans="1:55" ht="16" x14ac:dyDescent="0.2">
      <c r="A104" s="3" t="s">
        <v>45</v>
      </c>
      <c r="B104" s="3" t="s">
        <v>17</v>
      </c>
      <c r="C104" s="3" t="s">
        <v>72</v>
      </c>
      <c r="D104" s="3" t="s">
        <v>51</v>
      </c>
      <c r="E104" s="3">
        <v>1</v>
      </c>
      <c r="F104" s="3" t="s">
        <v>18</v>
      </c>
      <c r="G104" s="3" t="s">
        <v>14</v>
      </c>
      <c r="H104" s="3" t="s">
        <v>48</v>
      </c>
      <c r="I104" s="12" t="s">
        <v>306</v>
      </c>
      <c r="J104" s="3" t="s">
        <v>47</v>
      </c>
      <c r="K104" s="3" t="s">
        <v>71</v>
      </c>
      <c r="L104" s="4">
        <v>69</v>
      </c>
      <c r="M104" s="3"/>
      <c r="N104" s="1">
        <v>84341.428356425458</v>
      </c>
      <c r="O104" s="1">
        <v>96023.520565937899</v>
      </c>
      <c r="P104" s="1">
        <v>111238.40733740004</v>
      </c>
      <c r="Q104" s="1">
        <v>108503.45152755885</v>
      </c>
      <c r="R104" s="1">
        <v>99214.584997823433</v>
      </c>
      <c r="S104" s="1">
        <v>98031.044679750426</v>
      </c>
      <c r="T104" s="1">
        <v>119734.93662696111</v>
      </c>
      <c r="U104" s="1">
        <v>107574.85431848514</v>
      </c>
      <c r="V104" s="1">
        <v>116813.4156835373</v>
      </c>
      <c r="W104" s="1">
        <v>112549.71442546097</v>
      </c>
      <c r="X104" s="1">
        <v>116260.50168596512</v>
      </c>
      <c r="Y104" s="1">
        <v>56263.012596976929</v>
      </c>
      <c r="Z104" s="1">
        <v>52451.296130067822</v>
      </c>
      <c r="AA104" s="1">
        <v>57860.832897211752</v>
      </c>
      <c r="AB104" s="1">
        <v>52524.299760154863</v>
      </c>
      <c r="AC104" s="1">
        <v>45356.549664287726</v>
      </c>
      <c r="AD104" s="1">
        <v>52734.210698212883</v>
      </c>
      <c r="AE104" s="1">
        <v>55040.64018972106</v>
      </c>
      <c r="AF104" s="1">
        <v>57675.95257915838</v>
      </c>
      <c r="AG104" s="1">
        <v>60503.255016060932</v>
      </c>
      <c r="AH104" s="1">
        <v>57618.98741108684</v>
      </c>
      <c r="AI104" s="1">
        <v>61779.872692061275</v>
      </c>
      <c r="AJ104" s="1">
        <v>58820.527521665346</v>
      </c>
      <c r="AK104" s="1">
        <v>54924.21680862199</v>
      </c>
      <c r="AL104" s="1">
        <v>38206.859006229417</v>
      </c>
      <c r="AM104" s="1">
        <v>37773.833567255977</v>
      </c>
      <c r="AN104" s="1">
        <v>37620.463239254786</v>
      </c>
      <c r="AO104" s="1">
        <v>72224.210434611043</v>
      </c>
      <c r="AP104" s="1">
        <v>27777.947831951951</v>
      </c>
      <c r="AQ104" s="1">
        <v>22454.542706849563</v>
      </c>
      <c r="AR104" s="1">
        <v>33157.095718794182</v>
      </c>
      <c r="AS104" s="1">
        <v>41653.142064315412</v>
      </c>
      <c r="AT104" s="1">
        <v>0</v>
      </c>
      <c r="AU104" s="1">
        <v>0</v>
      </c>
      <c r="AV104" s="1">
        <v>0</v>
      </c>
      <c r="AW104" s="1">
        <v>0</v>
      </c>
      <c r="AZ104" s="1">
        <f t="shared" si="3"/>
        <v>9.9999999999999995E-7</v>
      </c>
      <c r="BA104" s="22">
        <f t="shared" si="2"/>
        <v>4.1653142064315411E-2</v>
      </c>
    </row>
    <row r="105" spans="1:55" ht="16" x14ac:dyDescent="0.2">
      <c r="A105" s="3" t="s">
        <v>45</v>
      </c>
      <c r="B105" s="3" t="s">
        <v>3</v>
      </c>
      <c r="C105" s="3" t="s">
        <v>64</v>
      </c>
      <c r="D105" s="3" t="s">
        <v>49</v>
      </c>
      <c r="E105" s="3">
        <v>1</v>
      </c>
      <c r="F105" s="3" t="s">
        <v>18</v>
      </c>
      <c r="G105" s="3" t="s">
        <v>14</v>
      </c>
      <c r="H105" s="3" t="s">
        <v>48</v>
      </c>
      <c r="I105" s="12" t="s">
        <v>307</v>
      </c>
      <c r="J105" s="3" t="s">
        <v>47</v>
      </c>
      <c r="K105" s="3" t="s">
        <v>63</v>
      </c>
      <c r="L105" s="4">
        <v>101</v>
      </c>
      <c r="M105" s="3"/>
      <c r="N105" s="1">
        <v>86606.561503003206</v>
      </c>
      <c r="O105" s="1">
        <v>107643.56476494721</v>
      </c>
      <c r="P105" s="1">
        <v>90160.990326724801</v>
      </c>
      <c r="Q105" s="1">
        <v>84218.840807617613</v>
      </c>
      <c r="R105" s="1">
        <v>107841.90032589278</v>
      </c>
      <c r="S105" s="1">
        <v>96521.492236724793</v>
      </c>
      <c r="T105" s="1">
        <v>97104.581803502384</v>
      </c>
      <c r="U105" s="1">
        <v>101943.70750429921</v>
      </c>
      <c r="V105" s="1">
        <v>95896.902071891207</v>
      </c>
      <c r="W105" s="1">
        <v>113775.2481817248</v>
      </c>
      <c r="X105" s="1">
        <v>118390.48950511361</v>
      </c>
      <c r="Y105" s="1">
        <v>115493.31863693439</v>
      </c>
      <c r="Z105" s="1">
        <v>125982.3548899648</v>
      </c>
      <c r="AA105" s="1">
        <v>127517.53948478079</v>
      </c>
      <c r="AB105" s="1">
        <v>119829.93989787198</v>
      </c>
      <c r="AC105" s="1">
        <v>94491.646812223989</v>
      </c>
      <c r="AD105" s="1">
        <v>77811.580092224001</v>
      </c>
      <c r="AE105" s="1">
        <v>74936.841611759999</v>
      </c>
      <c r="AF105" s="1">
        <v>65156.928124316801</v>
      </c>
      <c r="AG105" s="1">
        <v>53785.75488996481</v>
      </c>
      <c r="AH105" s="1">
        <v>13555.1818205952</v>
      </c>
      <c r="AI105" s="1">
        <v>13633.075571558402</v>
      </c>
      <c r="AJ105" s="1">
        <v>13939.002527040002</v>
      </c>
      <c r="AK105" s="1">
        <v>12342.8805794656</v>
      </c>
      <c r="AL105" s="1">
        <v>13309.1485654464</v>
      </c>
      <c r="AM105" s="1">
        <v>13416.989166576002</v>
      </c>
      <c r="AN105" s="1">
        <v>12762.173369964799</v>
      </c>
      <c r="AO105" s="1">
        <v>13054.532766576001</v>
      </c>
      <c r="AP105" s="1">
        <v>13175.9777631872</v>
      </c>
      <c r="AQ105" s="1">
        <v>14128.936046576002</v>
      </c>
      <c r="AR105" s="1">
        <v>8337.7741767423995</v>
      </c>
      <c r="AS105" s="1">
        <v>9511.2022156128023</v>
      </c>
      <c r="AT105" s="1">
        <v>0</v>
      </c>
      <c r="AU105" s="1">
        <v>0</v>
      </c>
      <c r="AV105" s="1">
        <v>0</v>
      </c>
      <c r="AW105" s="1">
        <v>0</v>
      </c>
      <c r="AZ105" s="1">
        <f t="shared" si="3"/>
        <v>9.9999999999999995E-7</v>
      </c>
      <c r="BA105" s="22">
        <f t="shared" si="2"/>
        <v>9.5112022156128018E-3</v>
      </c>
      <c r="BC105" s="21">
        <f>+BA105+BA106+BA107+BA108+BA109+BA110</f>
        <v>0.18204150812988334</v>
      </c>
    </row>
    <row r="106" spans="1:55" ht="16" x14ac:dyDescent="0.2">
      <c r="A106" s="3" t="s">
        <v>45</v>
      </c>
      <c r="B106" s="3" t="s">
        <v>3</v>
      </c>
      <c r="C106" s="3" t="s">
        <v>61</v>
      </c>
      <c r="D106" s="3" t="s">
        <v>49</v>
      </c>
      <c r="E106" s="3">
        <v>1</v>
      </c>
      <c r="F106" s="3" t="s">
        <v>18</v>
      </c>
      <c r="G106" s="3" t="s">
        <v>14</v>
      </c>
      <c r="H106" s="3" t="s">
        <v>48</v>
      </c>
      <c r="I106" s="12" t="s">
        <v>306</v>
      </c>
      <c r="J106" s="3" t="s">
        <v>60</v>
      </c>
      <c r="K106" s="7" t="s">
        <v>59</v>
      </c>
      <c r="L106" s="4">
        <v>90</v>
      </c>
      <c r="M106" s="3"/>
      <c r="N106" s="1">
        <v>355.24258491962661</v>
      </c>
      <c r="O106" s="1">
        <v>324.80231073835677</v>
      </c>
      <c r="P106" s="1">
        <v>316.80156237531185</v>
      </c>
      <c r="Q106" s="1">
        <v>340.10400935349696</v>
      </c>
      <c r="R106" s="1">
        <v>349.85574113460666</v>
      </c>
      <c r="S106" s="1">
        <v>372.65040292602657</v>
      </c>
      <c r="T106" s="1">
        <v>334.13784763869995</v>
      </c>
      <c r="U106" s="1">
        <v>317.84190166274936</v>
      </c>
      <c r="V106" s="1">
        <v>318.46031571361095</v>
      </c>
      <c r="W106" s="1">
        <v>339.90723061447375</v>
      </c>
      <c r="X106" s="1">
        <v>321.94469405316295</v>
      </c>
      <c r="Y106" s="1">
        <v>279.1179749070464</v>
      </c>
      <c r="Z106" s="1">
        <v>281.69755689856703</v>
      </c>
      <c r="AA106" s="1">
        <v>279.64196800661318</v>
      </c>
      <c r="AB106" s="1">
        <v>287.19662662044539</v>
      </c>
      <c r="AC106" s="1">
        <v>288.75631130912825</v>
      </c>
      <c r="AD106" s="1">
        <v>279.83729217908922</v>
      </c>
      <c r="AE106" s="1">
        <v>191.94507507568312</v>
      </c>
      <c r="AF106" s="1">
        <v>164.07601239521088</v>
      </c>
      <c r="AG106" s="1">
        <v>219.94994416297749</v>
      </c>
      <c r="AH106" s="1">
        <v>180.21584195377849</v>
      </c>
      <c r="AI106" s="1">
        <v>171.55253019133386</v>
      </c>
      <c r="AJ106" s="1">
        <v>172.81729058812542</v>
      </c>
      <c r="AK106" s="1">
        <v>147.07942201556472</v>
      </c>
      <c r="AL106" s="1">
        <v>125.31274007164301</v>
      </c>
      <c r="AM106" s="1">
        <v>104.9389224671108</v>
      </c>
      <c r="AN106" s="1">
        <v>95.014822243163223</v>
      </c>
      <c r="AO106" s="1">
        <v>83.520632919109204</v>
      </c>
      <c r="AP106" s="1">
        <v>72.30257844271658</v>
      </c>
      <c r="AQ106" s="1">
        <v>101.18522770469622</v>
      </c>
      <c r="AR106" s="1">
        <v>85.996222520069125</v>
      </c>
      <c r="AS106" s="1">
        <v>189.32690426126845</v>
      </c>
      <c r="AT106" s="1">
        <v>0</v>
      </c>
      <c r="AU106" s="1">
        <v>0</v>
      </c>
      <c r="AV106" s="1">
        <v>0</v>
      </c>
      <c r="AW106" s="1">
        <v>0</v>
      </c>
      <c r="AZ106" s="1">
        <f t="shared" si="3"/>
        <v>9.9999999999999995E-7</v>
      </c>
      <c r="BA106" s="22">
        <f t="shared" si="2"/>
        <v>1.8932690426126845E-4</v>
      </c>
    </row>
    <row r="107" spans="1:55" ht="16" x14ac:dyDescent="0.2">
      <c r="A107" s="3" t="s">
        <v>45</v>
      </c>
      <c r="B107" s="3" t="s">
        <v>3</v>
      </c>
      <c r="C107" s="3" t="s">
        <v>50</v>
      </c>
      <c r="D107" s="3" t="s">
        <v>49</v>
      </c>
      <c r="E107" s="3">
        <v>1</v>
      </c>
      <c r="F107" s="3" t="s">
        <v>18</v>
      </c>
      <c r="G107" s="3" t="s">
        <v>14</v>
      </c>
      <c r="H107" s="3" t="s">
        <v>48</v>
      </c>
      <c r="I107" s="12" t="s">
        <v>307</v>
      </c>
      <c r="J107" s="3" t="s">
        <v>47</v>
      </c>
      <c r="K107" s="7" t="s">
        <v>46</v>
      </c>
      <c r="L107" s="4">
        <v>98</v>
      </c>
      <c r="M107" s="3"/>
      <c r="N107" s="1">
        <v>4679.9567099999995</v>
      </c>
      <c r="O107" s="1">
        <v>5434.5977400000002</v>
      </c>
      <c r="P107" s="1">
        <v>3439.5017800000001</v>
      </c>
      <c r="Q107" s="1">
        <v>2789.8298999999997</v>
      </c>
      <c r="R107" s="1">
        <v>2320.5382199999999</v>
      </c>
      <c r="S107" s="1">
        <v>1351.0325400000002</v>
      </c>
      <c r="T107" s="1">
        <v>1801.60409</v>
      </c>
      <c r="U107" s="1">
        <v>1332.0092500000001</v>
      </c>
      <c r="V107" s="1">
        <v>1544.6002000000001</v>
      </c>
      <c r="W107" s="1">
        <v>2041.8583899999996</v>
      </c>
      <c r="X107" s="1">
        <v>3358.9370100000001</v>
      </c>
      <c r="Y107" s="1">
        <v>4637.4385199999997</v>
      </c>
      <c r="Z107" s="1">
        <v>3954.9495699999998</v>
      </c>
      <c r="AA107" s="1">
        <v>4085.8389000000002</v>
      </c>
      <c r="AB107" s="1">
        <v>3510.9717499999992</v>
      </c>
      <c r="AC107" s="1">
        <v>2710.4019800000001</v>
      </c>
      <c r="AD107" s="1">
        <v>4409.1590399999995</v>
      </c>
      <c r="AE107" s="1">
        <v>4533.1514800000004</v>
      </c>
      <c r="AF107" s="1">
        <v>2715.6314900000002</v>
      </c>
      <c r="AG107" s="1">
        <v>1750.21847</v>
      </c>
      <c r="AH107" s="1">
        <v>2655.4542300000003</v>
      </c>
      <c r="AI107" s="1">
        <v>3565.7679199999998</v>
      </c>
      <c r="AJ107" s="1">
        <v>2339.9404599999998</v>
      </c>
      <c r="AK107" s="1">
        <v>2794.14993</v>
      </c>
      <c r="AL107" s="1">
        <v>3425.1774700000001</v>
      </c>
      <c r="AM107" s="1">
        <v>4263.6422400000001</v>
      </c>
      <c r="AN107" s="1">
        <v>3223.3487</v>
      </c>
      <c r="AO107" s="1">
        <v>1658.81573</v>
      </c>
      <c r="AP107" s="1">
        <v>1901.1921500000001</v>
      </c>
      <c r="AQ107" s="1">
        <v>2439.1495699999996</v>
      </c>
      <c r="AR107" s="1">
        <v>866.12811999999997</v>
      </c>
      <c r="AS107" s="1">
        <v>866.12811999999997</v>
      </c>
      <c r="AT107" s="1">
        <v>0</v>
      </c>
      <c r="AU107" s="1">
        <v>0</v>
      </c>
      <c r="AV107" s="1">
        <v>0</v>
      </c>
      <c r="AW107" s="1">
        <v>0</v>
      </c>
      <c r="AZ107" s="1">
        <f t="shared" si="3"/>
        <v>9.9999999999999995E-7</v>
      </c>
      <c r="BA107" s="22">
        <f t="shared" si="2"/>
        <v>8.6612811999999993E-4</v>
      </c>
    </row>
    <row r="108" spans="1:55" ht="16" x14ac:dyDescent="0.2">
      <c r="A108" s="3" t="s">
        <v>45</v>
      </c>
      <c r="B108" s="3" t="s">
        <v>3</v>
      </c>
      <c r="C108" s="3" t="s">
        <v>56</v>
      </c>
      <c r="D108" s="3" t="s">
        <v>49</v>
      </c>
      <c r="E108" s="3">
        <v>1</v>
      </c>
      <c r="F108" s="3" t="s">
        <v>18</v>
      </c>
      <c r="G108" s="3" t="s">
        <v>14</v>
      </c>
      <c r="H108" s="3" t="s">
        <v>48</v>
      </c>
      <c r="I108" s="12" t="s">
        <v>307</v>
      </c>
      <c r="J108" s="3" t="s">
        <v>55</v>
      </c>
      <c r="K108" s="7" t="s">
        <v>54</v>
      </c>
      <c r="L108" s="4" t="s">
        <v>53</v>
      </c>
      <c r="M108" s="3"/>
      <c r="N108" s="1">
        <v>13130.119271893851</v>
      </c>
      <c r="O108" s="1">
        <v>13933.129253013134</v>
      </c>
      <c r="P108" s="1">
        <v>13635.96357910539</v>
      </c>
      <c r="Q108" s="1">
        <v>15172.5253163988</v>
      </c>
      <c r="R108" s="1">
        <v>16499.397268311743</v>
      </c>
      <c r="S108" s="1">
        <v>17171.64559564455</v>
      </c>
      <c r="T108" s="1">
        <v>17562.521388424539</v>
      </c>
      <c r="U108" s="1">
        <v>18866.779174675121</v>
      </c>
      <c r="V108" s="1">
        <v>20523.734055478017</v>
      </c>
      <c r="W108" s="1">
        <v>21250.874470809002</v>
      </c>
      <c r="X108" s="1">
        <v>21143.015277195071</v>
      </c>
      <c r="Y108" s="1">
        <v>18181.0840781976</v>
      </c>
      <c r="Z108" s="1">
        <v>19969.422849020455</v>
      </c>
      <c r="AA108" s="1">
        <v>20795.233720161184</v>
      </c>
      <c r="AB108" s="1">
        <v>20201.113183435751</v>
      </c>
      <c r="AC108" s="1">
        <v>18743.226344349241</v>
      </c>
      <c r="AD108" s="1">
        <v>8623.411013958852</v>
      </c>
      <c r="AE108" s="1">
        <v>12644.849017394235</v>
      </c>
      <c r="AF108" s="1">
        <v>14900.483813898602</v>
      </c>
      <c r="AG108" s="1">
        <v>21501.253184674155</v>
      </c>
      <c r="AH108" s="1">
        <v>22818.933244426313</v>
      </c>
      <c r="AI108" s="1">
        <v>24111.851204172173</v>
      </c>
      <c r="AJ108" s="1">
        <v>27125.380501093954</v>
      </c>
      <c r="AK108" s="1">
        <v>31224.974562950112</v>
      </c>
      <c r="AL108" s="1">
        <v>34575.799327066576</v>
      </c>
      <c r="AM108" s="1">
        <v>36876.695118117459</v>
      </c>
      <c r="AN108" s="1">
        <v>40656.806424678056</v>
      </c>
      <c r="AO108" s="1">
        <v>41661.412250037036</v>
      </c>
      <c r="AP108" s="1">
        <v>45695.739665527704</v>
      </c>
      <c r="AQ108" s="1">
        <v>48505.909126112769</v>
      </c>
      <c r="AR108" s="1">
        <v>54234.36311640036</v>
      </c>
      <c r="AS108" s="1">
        <v>58933.365755825158</v>
      </c>
      <c r="AT108" s="1">
        <v>0</v>
      </c>
      <c r="AU108" s="1">
        <v>0</v>
      </c>
      <c r="AV108" s="1">
        <v>0</v>
      </c>
      <c r="AW108" s="1">
        <v>0</v>
      </c>
      <c r="AZ108" s="1">
        <f t="shared" si="3"/>
        <v>9.9999999999999995E-7</v>
      </c>
      <c r="BA108" s="22">
        <f t="shared" si="2"/>
        <v>5.8933365755825154E-2</v>
      </c>
    </row>
    <row r="109" spans="1:55" ht="16" x14ac:dyDescent="0.2">
      <c r="A109" s="3" t="s">
        <v>45</v>
      </c>
      <c r="B109" s="3" t="s">
        <v>3</v>
      </c>
      <c r="C109" s="3" t="s">
        <v>68</v>
      </c>
      <c r="D109" s="3" t="s">
        <v>49</v>
      </c>
      <c r="E109" s="3">
        <v>1</v>
      </c>
      <c r="F109" s="3" t="s">
        <v>18</v>
      </c>
      <c r="G109" s="3" t="s">
        <v>14</v>
      </c>
      <c r="H109" s="3" t="s">
        <v>48</v>
      </c>
      <c r="I109" s="12" t="s">
        <v>307</v>
      </c>
      <c r="J109" s="3" t="s">
        <v>55</v>
      </c>
      <c r="K109" s="7" t="s">
        <v>67</v>
      </c>
      <c r="L109" s="4" t="s">
        <v>66</v>
      </c>
      <c r="M109" s="3"/>
      <c r="N109" s="1">
        <v>582228.5210417565</v>
      </c>
      <c r="O109" s="1">
        <v>552221.26414789597</v>
      </c>
      <c r="P109" s="1">
        <v>556745.18270040059</v>
      </c>
      <c r="Q109" s="1">
        <v>611388.28132140927</v>
      </c>
      <c r="R109" s="1">
        <v>635574.65697675606</v>
      </c>
      <c r="S109" s="1">
        <v>660623.73706967186</v>
      </c>
      <c r="T109" s="1">
        <v>651649.27287778154</v>
      </c>
      <c r="U109" s="1">
        <v>656746.63598574931</v>
      </c>
      <c r="V109" s="1">
        <v>669494.87757345138</v>
      </c>
      <c r="W109" s="1">
        <v>631967.01289374928</v>
      </c>
      <c r="X109" s="1">
        <v>595856.42442593432</v>
      </c>
      <c r="Y109" s="1">
        <v>559774.17148158501</v>
      </c>
      <c r="Z109" s="1">
        <v>547634.04895013059</v>
      </c>
      <c r="AA109" s="1">
        <v>523246.21078793186</v>
      </c>
      <c r="AB109" s="1">
        <v>475511.99667262263</v>
      </c>
      <c r="AC109" s="1">
        <v>435852.52931423875</v>
      </c>
      <c r="AD109" s="1">
        <v>435220.7433781295</v>
      </c>
      <c r="AE109" s="1">
        <v>370618.61760249501</v>
      </c>
      <c r="AF109" s="1">
        <v>340540.44110712199</v>
      </c>
      <c r="AG109" s="1">
        <v>293200.82206683466</v>
      </c>
      <c r="AH109" s="1">
        <v>279189.6620310655</v>
      </c>
      <c r="AI109" s="1">
        <v>269895.39431327418</v>
      </c>
      <c r="AJ109" s="1">
        <v>236339.40321652679</v>
      </c>
      <c r="AK109" s="1">
        <v>210560.34857793819</v>
      </c>
      <c r="AL109" s="1">
        <v>183553.88941034998</v>
      </c>
      <c r="AM109" s="1">
        <v>156973.42981911535</v>
      </c>
      <c r="AN109" s="1">
        <v>137675.63967859372</v>
      </c>
      <c r="AO109" s="1">
        <v>116806.03765406056</v>
      </c>
      <c r="AP109" s="1">
        <v>97581.667330144293</v>
      </c>
      <c r="AQ109" s="1">
        <v>108475.70923376584</v>
      </c>
      <c r="AR109" s="1">
        <v>93522.267139453135</v>
      </c>
      <c r="AS109" s="1">
        <v>83824.941398719035</v>
      </c>
      <c r="AT109" s="1">
        <v>0</v>
      </c>
      <c r="AU109" s="1">
        <v>0</v>
      </c>
      <c r="AV109" s="1">
        <v>0</v>
      </c>
      <c r="AW109" s="1">
        <v>0</v>
      </c>
      <c r="AZ109" s="1">
        <f t="shared" si="3"/>
        <v>9.9999999999999995E-7</v>
      </c>
      <c r="BA109" s="22">
        <f t="shared" si="2"/>
        <v>8.382494139871903E-2</v>
      </c>
    </row>
    <row r="110" spans="1:55" ht="16" x14ac:dyDescent="0.2">
      <c r="A110" s="3" t="s">
        <v>45</v>
      </c>
      <c r="B110" s="3" t="s">
        <v>3</v>
      </c>
      <c r="C110" s="3" t="s">
        <v>73</v>
      </c>
      <c r="D110" s="3" t="s">
        <v>49</v>
      </c>
      <c r="E110" s="3">
        <v>1</v>
      </c>
      <c r="F110" s="3" t="s">
        <v>18</v>
      </c>
      <c r="G110" s="3" t="s">
        <v>14</v>
      </c>
      <c r="H110" s="3" t="s">
        <v>48</v>
      </c>
      <c r="I110" s="12" t="s">
        <v>307</v>
      </c>
      <c r="J110" s="3" t="s">
        <v>47</v>
      </c>
      <c r="K110" s="3" t="s">
        <v>71</v>
      </c>
      <c r="L110" s="4">
        <v>97</v>
      </c>
      <c r="M110" s="3"/>
      <c r="N110" s="1">
        <v>90005.359945809978</v>
      </c>
      <c r="O110" s="1">
        <v>102167.57020230003</v>
      </c>
      <c r="P110" s="1">
        <v>119655.05309967599</v>
      </c>
      <c r="Q110" s="1">
        <v>111929.17627022747</v>
      </c>
      <c r="R110" s="1">
        <v>100154.49614674342</v>
      </c>
      <c r="S110" s="1">
        <v>96732.91671064921</v>
      </c>
      <c r="T110" s="1">
        <v>111255.79168499104</v>
      </c>
      <c r="U110" s="1">
        <v>89056.34492750591</v>
      </c>
      <c r="V110" s="1">
        <v>93824.530221511814</v>
      </c>
      <c r="W110" s="1">
        <v>92985.102742953313</v>
      </c>
      <c r="X110" s="1">
        <v>115705.89647867506</v>
      </c>
      <c r="Y110" s="1">
        <v>46609.598958086906</v>
      </c>
      <c r="Z110" s="1">
        <v>46122.229898372439</v>
      </c>
      <c r="AA110" s="1">
        <v>45154.159814241531</v>
      </c>
      <c r="AB110" s="1">
        <v>47656.037575390554</v>
      </c>
      <c r="AC110" s="1">
        <v>44453.06635276867</v>
      </c>
      <c r="AD110" s="1">
        <v>56399.873553010264</v>
      </c>
      <c r="AE110" s="1">
        <v>60691.214725812199</v>
      </c>
      <c r="AF110" s="1">
        <v>60776.071107516225</v>
      </c>
      <c r="AG110" s="1">
        <v>60168.693313460746</v>
      </c>
      <c r="AH110" s="1">
        <v>58810.550425852751</v>
      </c>
      <c r="AI110" s="1">
        <v>57563.368192004396</v>
      </c>
      <c r="AJ110" s="1">
        <v>55725.524335965987</v>
      </c>
      <c r="AK110" s="1">
        <v>49397.560638323877</v>
      </c>
      <c r="AL110" s="1">
        <v>29769.906516189614</v>
      </c>
      <c r="AM110" s="1">
        <v>21614.351921321275</v>
      </c>
      <c r="AN110" s="1">
        <v>25118.527351684043</v>
      </c>
      <c r="AO110" s="1">
        <v>57114.18661337244</v>
      </c>
      <c r="AP110" s="1">
        <v>17316.641566015147</v>
      </c>
      <c r="AQ110" s="1">
        <v>12592.038483542643</v>
      </c>
      <c r="AR110" s="1">
        <v>18699.697528596971</v>
      </c>
      <c r="AS110" s="1">
        <v>28716.543735465089</v>
      </c>
      <c r="AT110" s="1">
        <v>0</v>
      </c>
      <c r="AU110" s="1">
        <v>0</v>
      </c>
      <c r="AV110" s="1">
        <v>0</v>
      </c>
      <c r="AW110" s="1">
        <v>0</v>
      </c>
      <c r="AZ110" s="1">
        <f t="shared" si="3"/>
        <v>9.9999999999999995E-7</v>
      </c>
      <c r="BA110" s="22">
        <f t="shared" si="2"/>
        <v>2.8716543735465089E-2</v>
      </c>
    </row>
    <row r="111" spans="1:55" ht="16" x14ac:dyDescent="0.2">
      <c r="A111" s="3" t="s">
        <v>286</v>
      </c>
      <c r="B111" s="3" t="s">
        <v>17</v>
      </c>
      <c r="C111" s="3" t="s">
        <v>284</v>
      </c>
      <c r="D111" s="3" t="s">
        <v>285</v>
      </c>
      <c r="E111" s="3">
        <v>1</v>
      </c>
      <c r="F111" s="3" t="s">
        <v>15</v>
      </c>
      <c r="G111" s="3" t="s">
        <v>14</v>
      </c>
      <c r="H111" s="3" t="s">
        <v>289</v>
      </c>
      <c r="I111" s="3" t="s">
        <v>298</v>
      </c>
      <c r="J111" s="3" t="s">
        <v>308</v>
      </c>
      <c r="K111" s="9"/>
      <c r="L111" s="4" t="s">
        <v>290</v>
      </c>
      <c r="M111" s="3"/>
      <c r="N111" s="1">
        <v>0.29556178508656805</v>
      </c>
      <c r="O111" s="1">
        <v>0.29765745676220401</v>
      </c>
      <c r="P111" s="1">
        <v>0.30038288623635601</v>
      </c>
      <c r="Q111" s="1">
        <v>0.30195677513231994</v>
      </c>
      <c r="R111" s="1">
        <v>0.304097349781764</v>
      </c>
      <c r="S111" s="1">
        <v>0.30628235142212401</v>
      </c>
      <c r="T111" s="1">
        <v>0.30774009517851597</v>
      </c>
      <c r="U111" s="1">
        <v>0.30919389093053995</v>
      </c>
      <c r="V111" s="1">
        <v>0.31048474771036805</v>
      </c>
      <c r="W111" s="1">
        <v>0.31185668409310796</v>
      </c>
      <c r="X111" s="1">
        <v>0.312588806986764</v>
      </c>
      <c r="Y111" s="1">
        <v>0.31300243197022798</v>
      </c>
      <c r="Z111" s="1">
        <v>0.31434485765482795</v>
      </c>
      <c r="AA111" s="1">
        <v>0.31597050388780801</v>
      </c>
      <c r="AB111" s="1">
        <v>0.31810512344133596</v>
      </c>
      <c r="AC111" s="1">
        <v>0.31978281217528798</v>
      </c>
      <c r="AD111" s="1">
        <v>0.30058382163625202</v>
      </c>
      <c r="AE111" s="1">
        <v>0.30564241656101998</v>
      </c>
      <c r="AF111" s="1">
        <v>0.30982470411261603</v>
      </c>
      <c r="AG111" s="1">
        <v>0.31372033519411197</v>
      </c>
      <c r="AH111" s="1">
        <v>0.31740812256661199</v>
      </c>
      <c r="AI111" s="1">
        <v>0.31961711289816003</v>
      </c>
      <c r="AJ111" s="1">
        <v>0.32140167411567599</v>
      </c>
      <c r="AK111" s="1">
        <v>0.32306846613703194</v>
      </c>
      <c r="AL111" s="1">
        <v>0.32446215543772805</v>
      </c>
      <c r="AM111" s="1">
        <v>0.32594379794776801</v>
      </c>
      <c r="AN111" s="1">
        <v>0.32693408776828797</v>
      </c>
      <c r="AO111" s="1">
        <v>0.326382475671252</v>
      </c>
      <c r="AP111" s="1">
        <v>0.32573859203239203</v>
      </c>
      <c r="AQ111" s="1">
        <v>0.32530136528458803</v>
      </c>
      <c r="AR111" s="1">
        <v>0.32482744303086009</v>
      </c>
      <c r="AS111" s="1">
        <v>0.32292249847426802</v>
      </c>
      <c r="AT111" s="1">
        <v>0</v>
      </c>
      <c r="AU111" s="1">
        <v>0</v>
      </c>
      <c r="AV111" s="1">
        <v>0</v>
      </c>
      <c r="AW111" s="1">
        <v>0</v>
      </c>
      <c r="AZ111" s="1">
        <v>1</v>
      </c>
      <c r="BA111" s="22">
        <f t="shared" si="2"/>
        <v>0.32292249847426802</v>
      </c>
    </row>
    <row r="112" spans="1:55" ht="16" x14ac:dyDescent="0.2">
      <c r="A112" s="3" t="s">
        <v>286</v>
      </c>
      <c r="B112" s="3" t="s">
        <v>3</v>
      </c>
      <c r="C112" s="3" t="s">
        <v>288</v>
      </c>
      <c r="D112" s="3" t="s">
        <v>287</v>
      </c>
      <c r="E112" s="3">
        <v>1</v>
      </c>
      <c r="F112" s="3" t="s">
        <v>15</v>
      </c>
      <c r="G112" s="3" t="s">
        <v>14</v>
      </c>
      <c r="H112" s="3" t="s">
        <v>289</v>
      </c>
      <c r="I112" s="3" t="s">
        <v>298</v>
      </c>
      <c r="J112" s="3" t="s">
        <v>309</v>
      </c>
      <c r="K112" s="9"/>
      <c r="L112" s="4">
        <v>6</v>
      </c>
      <c r="M112" s="3"/>
      <c r="N112" s="1">
        <v>0.10977000378135399</v>
      </c>
      <c r="O112" s="1">
        <v>0.11150119869596974</v>
      </c>
      <c r="P112" s="1">
        <v>0.11345673254787297</v>
      </c>
      <c r="Q112" s="1">
        <v>0.11407581526454798</v>
      </c>
      <c r="R112" s="1">
        <v>0.11674800471447248</v>
      </c>
      <c r="S112" s="1">
        <v>0.11665606612103328</v>
      </c>
      <c r="T112" s="1">
        <v>0.1181282017642825</v>
      </c>
      <c r="U112" s="1">
        <v>0.11778277709420423</v>
      </c>
      <c r="V112" s="1">
        <v>0.11924176373533997</v>
      </c>
      <c r="W112" s="1">
        <v>0.12169116496379402</v>
      </c>
      <c r="X112" s="1">
        <v>0.12199326428179</v>
      </c>
      <c r="Y112" s="1">
        <v>0.12024962768343751</v>
      </c>
      <c r="Z112" s="1">
        <v>0.12172803520448769</v>
      </c>
      <c r="AA112" s="1">
        <v>0.123334269896268</v>
      </c>
      <c r="AB112" s="1">
        <v>0.12515465543475049</v>
      </c>
      <c r="AC112" s="1">
        <v>0.12387610837912097</v>
      </c>
      <c r="AD112" s="1">
        <v>0.11737693354390999</v>
      </c>
      <c r="AE112" s="1">
        <v>0.11843434646154821</v>
      </c>
      <c r="AF112" s="1">
        <v>0.1181694745730555</v>
      </c>
      <c r="AG112" s="1">
        <v>0.11870658041356798</v>
      </c>
      <c r="AH112" s="1">
        <v>0.12010693626878498</v>
      </c>
      <c r="AI112" s="1">
        <v>0.11851279546867682</v>
      </c>
      <c r="AJ112" s="1">
        <v>0.12030529699652313</v>
      </c>
      <c r="AK112" s="1">
        <v>0.12084673570993255</v>
      </c>
      <c r="AL112" s="1">
        <v>0.12290769513413019</v>
      </c>
      <c r="AM112" s="1">
        <v>0.12475495728923379</v>
      </c>
      <c r="AN112" s="1">
        <v>0.12554855492074596</v>
      </c>
      <c r="AO112" s="1">
        <v>0.12588772376517299</v>
      </c>
      <c r="AP112" s="1">
        <v>0.12618317250944996</v>
      </c>
      <c r="AQ112" s="1">
        <v>0.12461008692887869</v>
      </c>
      <c r="AR112" s="1">
        <v>0.12501131792280298</v>
      </c>
      <c r="AS112" s="1">
        <v>0.12428144065244696</v>
      </c>
      <c r="AT112" s="1">
        <v>0</v>
      </c>
      <c r="AU112" s="1">
        <v>0</v>
      </c>
      <c r="AV112" s="1">
        <v>0</v>
      </c>
      <c r="AW112" s="1">
        <v>0</v>
      </c>
      <c r="AZ112" s="1">
        <v>1</v>
      </c>
      <c r="BA112" s="22">
        <f t="shared" si="2"/>
        <v>0.12428144065244696</v>
      </c>
    </row>
    <row r="114" spans="53:53" x14ac:dyDescent="0.2">
      <c r="BA114" s="21">
        <f>+SUM(BA2:BA112)</f>
        <v>192.50106156374534</v>
      </c>
    </row>
  </sheetData>
  <sortState xmlns:xlrd2="http://schemas.microsoft.com/office/spreadsheetml/2017/richdata2" ref="A2:M112">
    <sortCondition ref="A2:A112"/>
    <sortCondition ref="H2:H112"/>
    <sortCondition ref="C2:C112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8AAB-654E-5A4B-B9A6-08F65C18ECBB}">
  <dimension ref="A1:L112"/>
  <sheetViews>
    <sheetView workbookViewId="0"/>
  </sheetViews>
  <sheetFormatPr baseColWidth="10" defaultRowHeight="16" x14ac:dyDescent="0.2"/>
  <cols>
    <col min="7" max="7" width="18.1640625" bestFit="1" customWidth="1"/>
    <col min="12" max="12" width="13.5" bestFit="1" customWidth="1"/>
  </cols>
  <sheetData>
    <row r="1" spans="1:12" x14ac:dyDescent="0.2">
      <c r="A1" s="3" t="s">
        <v>85</v>
      </c>
      <c r="B1" s="3" t="s">
        <v>84</v>
      </c>
      <c r="C1" s="3" t="s">
        <v>83</v>
      </c>
      <c r="D1" s="3" t="s">
        <v>82</v>
      </c>
      <c r="E1" s="3" t="s">
        <v>81</v>
      </c>
      <c r="F1" s="3" t="s">
        <v>80</v>
      </c>
      <c r="G1" s="3" t="s">
        <v>79</v>
      </c>
      <c r="H1" s="3" t="s">
        <v>78</v>
      </c>
      <c r="I1" s="3" t="s">
        <v>77</v>
      </c>
      <c r="J1" s="3" t="s">
        <v>76</v>
      </c>
      <c r="K1" s="3" t="s">
        <v>75</v>
      </c>
      <c r="L1" t="s">
        <v>313</v>
      </c>
    </row>
    <row r="2" spans="1:12" x14ac:dyDescent="0.2">
      <c r="A2" s="14" t="s">
        <v>171</v>
      </c>
      <c r="B2" s="14" t="s">
        <v>17</v>
      </c>
      <c r="C2" s="14" t="s">
        <v>180</v>
      </c>
      <c r="D2" s="14" t="s">
        <v>187</v>
      </c>
      <c r="E2" s="14">
        <v>1</v>
      </c>
      <c r="F2" s="14" t="s">
        <v>15</v>
      </c>
      <c r="G2" s="14" t="s">
        <v>17</v>
      </c>
      <c r="H2" s="14" t="s">
        <v>171</v>
      </c>
      <c r="I2" s="15" t="s">
        <v>291</v>
      </c>
      <c r="J2" s="15" t="s">
        <v>179</v>
      </c>
      <c r="K2" s="15" t="s">
        <v>177</v>
      </c>
      <c r="L2">
        <v>28</v>
      </c>
    </row>
    <row r="3" spans="1:12" x14ac:dyDescent="0.2">
      <c r="A3" s="14" t="s">
        <v>171</v>
      </c>
      <c r="B3" s="14" t="s">
        <v>17</v>
      </c>
      <c r="C3" s="14" t="s">
        <v>182</v>
      </c>
      <c r="D3" s="14" t="s">
        <v>181</v>
      </c>
      <c r="E3" s="14">
        <v>1</v>
      </c>
      <c r="F3" s="14" t="s">
        <v>15</v>
      </c>
      <c r="G3" s="14" t="s">
        <v>17</v>
      </c>
      <c r="H3" s="14" t="s">
        <v>171</v>
      </c>
      <c r="I3" s="15" t="s">
        <v>291</v>
      </c>
      <c r="J3" s="15" t="s">
        <v>179</v>
      </c>
      <c r="K3" s="15" t="s">
        <v>178</v>
      </c>
      <c r="L3">
        <v>28</v>
      </c>
    </row>
    <row r="4" spans="1:12" x14ac:dyDescent="0.2">
      <c r="A4" s="14" t="s">
        <v>171</v>
      </c>
      <c r="B4" s="14" t="s">
        <v>3</v>
      </c>
      <c r="C4" s="14" t="s">
        <v>198</v>
      </c>
      <c r="D4" s="14" t="s">
        <v>197</v>
      </c>
      <c r="E4" s="14">
        <v>1</v>
      </c>
      <c r="F4" s="14" t="s">
        <v>15</v>
      </c>
      <c r="G4" s="14" t="s">
        <v>3</v>
      </c>
      <c r="H4" s="14" t="s">
        <v>171</v>
      </c>
      <c r="I4" s="15" t="s">
        <v>291</v>
      </c>
      <c r="J4" s="15" t="s">
        <v>194</v>
      </c>
      <c r="K4" s="15" t="s">
        <v>178</v>
      </c>
      <c r="L4">
        <v>265</v>
      </c>
    </row>
    <row r="5" spans="1:12" x14ac:dyDescent="0.2">
      <c r="A5" s="3" t="s">
        <v>171</v>
      </c>
      <c r="B5" s="3" t="s">
        <v>9</v>
      </c>
      <c r="C5" s="3" t="s">
        <v>210</v>
      </c>
      <c r="D5" s="3" t="s">
        <v>211</v>
      </c>
      <c r="E5" s="3">
        <v>0</v>
      </c>
      <c r="F5" s="3" t="s">
        <v>0</v>
      </c>
      <c r="G5" s="3" t="s">
        <v>0</v>
      </c>
      <c r="H5" s="3" t="s">
        <v>0</v>
      </c>
      <c r="I5" s="3" t="s">
        <v>0</v>
      </c>
      <c r="J5" s="3" t="s">
        <v>0</v>
      </c>
      <c r="K5" s="3" t="s">
        <v>0</v>
      </c>
    </row>
    <row r="6" spans="1:12" x14ac:dyDescent="0.2">
      <c r="A6" s="3" t="s">
        <v>171</v>
      </c>
      <c r="B6" s="3" t="s">
        <v>9</v>
      </c>
      <c r="C6" s="3" t="s">
        <v>212</v>
      </c>
      <c r="D6" s="3" t="s">
        <v>211</v>
      </c>
      <c r="E6" s="3">
        <v>0</v>
      </c>
      <c r="F6" s="3" t="s">
        <v>0</v>
      </c>
      <c r="G6" s="3" t="s">
        <v>0</v>
      </c>
      <c r="H6" s="3" t="s">
        <v>0</v>
      </c>
      <c r="I6" s="3" t="s">
        <v>0</v>
      </c>
      <c r="J6" s="3" t="s">
        <v>0</v>
      </c>
      <c r="K6" s="3" t="s">
        <v>0</v>
      </c>
    </row>
    <row r="7" spans="1:12" x14ac:dyDescent="0.2">
      <c r="A7" s="3" t="s">
        <v>171</v>
      </c>
      <c r="B7" s="3" t="s">
        <v>9</v>
      </c>
      <c r="C7" s="3" t="s">
        <v>213</v>
      </c>
      <c r="D7" s="3" t="s">
        <v>211</v>
      </c>
      <c r="E7" s="3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</row>
    <row r="8" spans="1:12" x14ac:dyDescent="0.2">
      <c r="A8" s="3" t="s">
        <v>171</v>
      </c>
      <c r="B8" s="3" t="s">
        <v>9</v>
      </c>
      <c r="C8" s="3" t="s">
        <v>214</v>
      </c>
      <c r="D8" s="3" t="s">
        <v>211</v>
      </c>
      <c r="E8" s="3">
        <v>0</v>
      </c>
      <c r="F8" s="3" t="s">
        <v>0</v>
      </c>
      <c r="G8" s="3" t="s">
        <v>0</v>
      </c>
      <c r="H8" s="3" t="s">
        <v>0</v>
      </c>
      <c r="I8" s="3" t="s">
        <v>0</v>
      </c>
      <c r="J8" s="3" t="s">
        <v>0</v>
      </c>
      <c r="K8" s="3" t="s">
        <v>0</v>
      </c>
    </row>
    <row r="9" spans="1:12" x14ac:dyDescent="0.2">
      <c r="A9" s="3" t="s">
        <v>171</v>
      </c>
      <c r="B9" s="3" t="s">
        <v>9</v>
      </c>
      <c r="C9" s="3" t="s">
        <v>215</v>
      </c>
      <c r="D9" s="3" t="s">
        <v>216</v>
      </c>
      <c r="E9" s="3">
        <v>0</v>
      </c>
      <c r="F9" s="3" t="s">
        <v>0</v>
      </c>
      <c r="G9" s="3" t="s">
        <v>0</v>
      </c>
      <c r="H9" s="3" t="s">
        <v>0</v>
      </c>
      <c r="I9" s="3" t="s">
        <v>0</v>
      </c>
      <c r="J9" s="3" t="s">
        <v>0</v>
      </c>
      <c r="K9" s="3" t="s">
        <v>0</v>
      </c>
    </row>
    <row r="10" spans="1:12" x14ac:dyDescent="0.2">
      <c r="A10" s="14" t="s">
        <v>199</v>
      </c>
      <c r="B10" s="14" t="s">
        <v>3</v>
      </c>
      <c r="C10" s="14" t="s">
        <v>202</v>
      </c>
      <c r="D10" s="14" t="s">
        <v>203</v>
      </c>
      <c r="E10" s="14">
        <v>1</v>
      </c>
      <c r="F10" s="14" t="s">
        <v>18</v>
      </c>
      <c r="G10" s="14" t="s">
        <v>3</v>
      </c>
      <c r="H10" s="14" t="s">
        <v>171</v>
      </c>
      <c r="I10" s="14" t="s">
        <v>292</v>
      </c>
      <c r="J10" s="15" t="s">
        <v>205</v>
      </c>
      <c r="K10" s="20" t="s">
        <v>204</v>
      </c>
      <c r="L10">
        <v>2.6499999999999999E-4</v>
      </c>
    </row>
    <row r="11" spans="1:12" x14ac:dyDescent="0.2">
      <c r="A11" s="3" t="s">
        <v>130</v>
      </c>
      <c r="B11" s="3" t="s">
        <v>17</v>
      </c>
      <c r="C11" s="3" t="s">
        <v>134</v>
      </c>
      <c r="D11" s="3" t="s">
        <v>133</v>
      </c>
      <c r="E11" s="3">
        <v>0</v>
      </c>
      <c r="F11" s="3" t="s">
        <v>0</v>
      </c>
      <c r="G11" s="3" t="s">
        <v>0</v>
      </c>
      <c r="H11" s="3" t="s">
        <v>0</v>
      </c>
      <c r="I11" s="3" t="s">
        <v>0</v>
      </c>
      <c r="J11" s="3" t="s">
        <v>0</v>
      </c>
      <c r="K11" s="3" t="s">
        <v>0</v>
      </c>
    </row>
    <row r="12" spans="1:12" x14ac:dyDescent="0.2">
      <c r="A12" s="3" t="s">
        <v>130</v>
      </c>
      <c r="B12" s="3" t="s">
        <v>9</v>
      </c>
      <c r="C12" s="3" t="s">
        <v>132</v>
      </c>
      <c r="D12" s="3" t="s">
        <v>131</v>
      </c>
      <c r="E12" s="3">
        <v>0</v>
      </c>
      <c r="F12" s="3" t="s">
        <v>0</v>
      </c>
      <c r="G12" s="3" t="s">
        <v>0</v>
      </c>
      <c r="H12" s="3" t="s">
        <v>0</v>
      </c>
      <c r="I12" s="3" t="s">
        <v>0</v>
      </c>
      <c r="J12" s="3" t="s">
        <v>0</v>
      </c>
      <c r="K12" s="3" t="s">
        <v>0</v>
      </c>
    </row>
    <row r="13" spans="1:12" x14ac:dyDescent="0.2">
      <c r="A13" s="3" t="s">
        <v>130</v>
      </c>
      <c r="B13" s="3" t="s">
        <v>3</v>
      </c>
      <c r="C13" s="3" t="s">
        <v>129</v>
      </c>
      <c r="D13" s="3" t="s">
        <v>128</v>
      </c>
      <c r="E13" s="3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</row>
    <row r="14" spans="1:12" x14ac:dyDescent="0.2">
      <c r="A14" s="3" t="s">
        <v>16</v>
      </c>
      <c r="B14" s="3" t="s">
        <v>9</v>
      </c>
      <c r="C14" s="3" t="s">
        <v>27</v>
      </c>
      <c r="D14" s="3" t="s">
        <v>26</v>
      </c>
      <c r="E14" s="3">
        <v>1</v>
      </c>
      <c r="F14" s="3" t="s">
        <v>15</v>
      </c>
      <c r="G14" s="3" t="s">
        <v>14</v>
      </c>
      <c r="H14" s="3" t="s">
        <v>25</v>
      </c>
      <c r="I14" s="6" t="s">
        <v>293</v>
      </c>
      <c r="J14" s="3" t="s">
        <v>24</v>
      </c>
      <c r="K14" s="7" t="s">
        <v>23</v>
      </c>
      <c r="L14">
        <v>1</v>
      </c>
    </row>
    <row r="15" spans="1:12" x14ac:dyDescent="0.2">
      <c r="A15" s="3" t="s">
        <v>16</v>
      </c>
      <c r="B15" s="3" t="s">
        <v>9</v>
      </c>
      <c r="C15" s="3" t="s">
        <v>32</v>
      </c>
      <c r="D15" s="3" t="s">
        <v>26</v>
      </c>
      <c r="E15" s="3">
        <v>1</v>
      </c>
      <c r="F15" s="3" t="s">
        <v>15</v>
      </c>
      <c r="G15" s="3" t="s">
        <v>14</v>
      </c>
      <c r="H15" s="3" t="s">
        <v>25</v>
      </c>
      <c r="I15" s="6" t="s">
        <v>31</v>
      </c>
      <c r="J15" s="3" t="s">
        <v>24</v>
      </c>
      <c r="K15" s="7" t="s">
        <v>21</v>
      </c>
      <c r="L15">
        <v>1</v>
      </c>
    </row>
    <row r="16" spans="1:12" x14ac:dyDescent="0.2">
      <c r="A16" s="3" t="s">
        <v>16</v>
      </c>
      <c r="B16" s="3" t="s">
        <v>9</v>
      </c>
      <c r="C16" s="3" t="s">
        <v>30</v>
      </c>
      <c r="D16" s="3" t="s">
        <v>26</v>
      </c>
      <c r="E16" s="3">
        <v>1</v>
      </c>
      <c r="F16" s="3" t="s">
        <v>15</v>
      </c>
      <c r="G16" s="3" t="s">
        <v>14</v>
      </c>
      <c r="H16" s="3" t="s">
        <v>25</v>
      </c>
      <c r="I16" s="6" t="s">
        <v>293</v>
      </c>
      <c r="J16" s="3" t="s">
        <v>24</v>
      </c>
      <c r="K16" s="7" t="s">
        <v>12</v>
      </c>
      <c r="L16">
        <v>1</v>
      </c>
    </row>
    <row r="17" spans="1:12" x14ac:dyDescent="0.2">
      <c r="A17" s="3" t="s">
        <v>16</v>
      </c>
      <c r="B17" s="3" t="s">
        <v>9</v>
      </c>
      <c r="C17" s="3" t="s">
        <v>29</v>
      </c>
      <c r="D17" s="3" t="s">
        <v>26</v>
      </c>
      <c r="E17" s="3">
        <v>1</v>
      </c>
      <c r="F17" s="3" t="s">
        <v>15</v>
      </c>
      <c r="G17" s="3" t="s">
        <v>14</v>
      </c>
      <c r="H17" s="3" t="s">
        <v>25</v>
      </c>
      <c r="I17" s="6" t="s">
        <v>293</v>
      </c>
      <c r="J17" s="3" t="s">
        <v>24</v>
      </c>
      <c r="K17" s="7" t="s">
        <v>28</v>
      </c>
      <c r="L17">
        <v>1</v>
      </c>
    </row>
    <row r="18" spans="1:12" x14ac:dyDescent="0.2">
      <c r="A18" s="3" t="s">
        <v>16</v>
      </c>
      <c r="B18" s="3" t="s">
        <v>9</v>
      </c>
      <c r="C18" s="3" t="s">
        <v>111</v>
      </c>
      <c r="D18" s="3" t="s">
        <v>110</v>
      </c>
      <c r="E18" s="3">
        <v>1</v>
      </c>
      <c r="F18" s="3" t="s">
        <v>18</v>
      </c>
      <c r="G18" s="3" t="s">
        <v>14</v>
      </c>
      <c r="H18" s="3" t="s">
        <v>112</v>
      </c>
      <c r="I18" s="6" t="s">
        <v>294</v>
      </c>
      <c r="J18" s="3" t="s">
        <v>113</v>
      </c>
      <c r="K18" s="7" t="s">
        <v>295</v>
      </c>
      <c r="L18">
        <v>9.9999999999999995E-7</v>
      </c>
    </row>
    <row r="19" spans="1:12" x14ac:dyDescent="0.2">
      <c r="A19" s="3" t="s">
        <v>16</v>
      </c>
      <c r="B19" s="3" t="s">
        <v>9</v>
      </c>
      <c r="C19" s="3" t="s">
        <v>96</v>
      </c>
      <c r="D19" s="3" t="s">
        <v>97</v>
      </c>
      <c r="E19" s="3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</row>
    <row r="20" spans="1:12" x14ac:dyDescent="0.2">
      <c r="A20" s="3" t="s">
        <v>16</v>
      </c>
      <c r="B20" s="3" t="s">
        <v>9</v>
      </c>
      <c r="C20" s="3" t="s">
        <v>98</v>
      </c>
      <c r="D20" s="3" t="s">
        <v>97</v>
      </c>
      <c r="E20" s="3">
        <v>0</v>
      </c>
      <c r="F20" s="3" t="s">
        <v>0</v>
      </c>
      <c r="G20" s="3" t="s">
        <v>0</v>
      </c>
      <c r="H20" s="3" t="s">
        <v>0</v>
      </c>
      <c r="I20" s="3" t="s">
        <v>0</v>
      </c>
      <c r="J20" s="3" t="s">
        <v>0</v>
      </c>
      <c r="K20" s="3" t="s">
        <v>0</v>
      </c>
    </row>
    <row r="21" spans="1:12" x14ac:dyDescent="0.2">
      <c r="A21" s="3" t="s">
        <v>16</v>
      </c>
      <c r="B21" s="3" t="s">
        <v>9</v>
      </c>
      <c r="C21" s="3" t="s">
        <v>108</v>
      </c>
      <c r="D21" s="3" t="s">
        <v>110</v>
      </c>
      <c r="E21" s="3">
        <v>0</v>
      </c>
      <c r="F21" s="3" t="s">
        <v>0</v>
      </c>
      <c r="G21" s="3" t="s">
        <v>0</v>
      </c>
      <c r="H21" s="3" t="s">
        <v>0</v>
      </c>
      <c r="I21" s="3" t="s">
        <v>0</v>
      </c>
      <c r="J21" s="3" t="s">
        <v>0</v>
      </c>
      <c r="K21" s="3" t="s">
        <v>0</v>
      </c>
    </row>
    <row r="22" spans="1:12" x14ac:dyDescent="0.2">
      <c r="A22" s="3" t="s">
        <v>16</v>
      </c>
      <c r="B22" s="3" t="s">
        <v>9</v>
      </c>
      <c r="C22" s="3" t="s">
        <v>109</v>
      </c>
      <c r="D22" s="3" t="s">
        <v>110</v>
      </c>
      <c r="E22" s="3">
        <v>0</v>
      </c>
      <c r="F22" s="3" t="s">
        <v>0</v>
      </c>
      <c r="G22" s="3" t="s">
        <v>0</v>
      </c>
      <c r="H22" s="3" t="s">
        <v>0</v>
      </c>
      <c r="I22" s="3" t="s">
        <v>0</v>
      </c>
      <c r="J22" s="3" t="s">
        <v>0</v>
      </c>
      <c r="K22" s="3" t="s">
        <v>0</v>
      </c>
    </row>
    <row r="23" spans="1:12" x14ac:dyDescent="0.2">
      <c r="A23" s="3" t="s">
        <v>16</v>
      </c>
      <c r="B23" s="3" t="s">
        <v>3</v>
      </c>
      <c r="C23" s="3" t="s">
        <v>92</v>
      </c>
      <c r="D23" s="3" t="s">
        <v>93</v>
      </c>
      <c r="E23" s="3">
        <v>0</v>
      </c>
      <c r="F23" s="3" t="s">
        <v>0</v>
      </c>
      <c r="G23" s="3" t="s">
        <v>0</v>
      </c>
      <c r="H23" s="3" t="s">
        <v>0</v>
      </c>
      <c r="I23" s="3" t="s">
        <v>0</v>
      </c>
      <c r="J23" s="3" t="s">
        <v>0</v>
      </c>
      <c r="K23" s="3" t="s">
        <v>0</v>
      </c>
    </row>
    <row r="24" spans="1:12" x14ac:dyDescent="0.2">
      <c r="A24" s="3" t="s">
        <v>16</v>
      </c>
      <c r="B24" s="3" t="s">
        <v>3</v>
      </c>
      <c r="C24" s="3" t="s">
        <v>94</v>
      </c>
      <c r="D24" s="3" t="s">
        <v>93</v>
      </c>
      <c r="E24" s="3">
        <v>0</v>
      </c>
      <c r="F24" s="3" t="s">
        <v>0</v>
      </c>
      <c r="G24" s="3" t="s">
        <v>0</v>
      </c>
      <c r="H24" s="3" t="s">
        <v>0</v>
      </c>
      <c r="I24" s="3" t="s">
        <v>0</v>
      </c>
      <c r="J24" s="3" t="s">
        <v>0</v>
      </c>
      <c r="K24" s="3" t="s">
        <v>0</v>
      </c>
    </row>
    <row r="25" spans="1:12" x14ac:dyDescent="0.2">
      <c r="A25" s="3" t="s">
        <v>16</v>
      </c>
      <c r="B25" s="3" t="s">
        <v>3</v>
      </c>
      <c r="C25" s="3" t="s">
        <v>95</v>
      </c>
      <c r="D25" s="3" t="s">
        <v>93</v>
      </c>
      <c r="E25" s="3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</row>
    <row r="26" spans="1:12" x14ac:dyDescent="0.2">
      <c r="A26" s="3" t="s">
        <v>16</v>
      </c>
      <c r="B26" s="3" t="s">
        <v>3</v>
      </c>
      <c r="C26" s="3" t="s">
        <v>105</v>
      </c>
      <c r="D26" s="3" t="s">
        <v>104</v>
      </c>
      <c r="E26" s="3">
        <v>0</v>
      </c>
      <c r="F26" s="3" t="s">
        <v>0</v>
      </c>
      <c r="G26" s="3" t="s">
        <v>0</v>
      </c>
      <c r="H26" s="3" t="s">
        <v>0</v>
      </c>
      <c r="I26" s="3" t="s">
        <v>0</v>
      </c>
      <c r="J26" s="3" t="s">
        <v>0</v>
      </c>
      <c r="K26" s="3" t="s">
        <v>0</v>
      </c>
    </row>
    <row r="27" spans="1:12" x14ac:dyDescent="0.2">
      <c r="A27" s="3" t="s">
        <v>16</v>
      </c>
      <c r="B27" s="3" t="s">
        <v>3</v>
      </c>
      <c r="C27" s="3" t="s">
        <v>103</v>
      </c>
      <c r="D27" s="3" t="s">
        <v>104</v>
      </c>
      <c r="E27" s="3">
        <v>0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0</v>
      </c>
    </row>
    <row r="28" spans="1:12" x14ac:dyDescent="0.2">
      <c r="A28" s="3" t="s">
        <v>16</v>
      </c>
      <c r="B28" s="3" t="s">
        <v>17</v>
      </c>
      <c r="C28" s="3" t="s">
        <v>36</v>
      </c>
      <c r="D28" s="3" t="s">
        <v>35</v>
      </c>
      <c r="E28" s="3">
        <v>1</v>
      </c>
      <c r="F28" s="3" t="s">
        <v>15</v>
      </c>
      <c r="G28" s="3" t="s">
        <v>14</v>
      </c>
      <c r="H28" s="3" t="s">
        <v>34</v>
      </c>
      <c r="I28" s="6" t="s">
        <v>293</v>
      </c>
      <c r="J28" s="3" t="s">
        <v>24</v>
      </c>
      <c r="K28" s="7" t="s">
        <v>33</v>
      </c>
      <c r="L28">
        <v>1</v>
      </c>
    </row>
    <row r="29" spans="1:12" x14ac:dyDescent="0.2">
      <c r="A29" s="3" t="s">
        <v>16</v>
      </c>
      <c r="B29" s="3" t="s">
        <v>3</v>
      </c>
      <c r="C29" s="3" t="s">
        <v>39</v>
      </c>
      <c r="D29" s="3" t="s">
        <v>38</v>
      </c>
      <c r="E29" s="3">
        <v>1</v>
      </c>
      <c r="F29" s="3" t="s">
        <v>15</v>
      </c>
      <c r="G29" s="3" t="s">
        <v>14</v>
      </c>
      <c r="H29" s="3" t="s">
        <v>34</v>
      </c>
      <c r="I29" s="6" t="s">
        <v>293</v>
      </c>
      <c r="J29" s="3" t="s">
        <v>24</v>
      </c>
      <c r="K29" s="7" t="s">
        <v>37</v>
      </c>
      <c r="L29">
        <v>1</v>
      </c>
    </row>
    <row r="30" spans="1:12" x14ac:dyDescent="0.2">
      <c r="A30" s="3" t="s">
        <v>101</v>
      </c>
      <c r="B30" s="3" t="s">
        <v>17</v>
      </c>
      <c r="C30" s="3" t="s">
        <v>22</v>
      </c>
      <c r="D30" s="3" t="s">
        <v>88</v>
      </c>
      <c r="E30" s="3">
        <v>1</v>
      </c>
      <c r="F30" s="3" t="s">
        <v>18</v>
      </c>
      <c r="G30" s="3" t="s">
        <v>17</v>
      </c>
      <c r="H30" s="3" t="s">
        <v>21</v>
      </c>
      <c r="I30" s="8" t="s">
        <v>296</v>
      </c>
      <c r="J30" s="3" t="s">
        <v>20</v>
      </c>
      <c r="K30" s="3"/>
      <c r="L30">
        <v>2.8E-5</v>
      </c>
    </row>
    <row r="31" spans="1:12" x14ac:dyDescent="0.2">
      <c r="A31" s="3" t="s">
        <v>101</v>
      </c>
      <c r="B31" s="3" t="s">
        <v>17</v>
      </c>
      <c r="C31" s="3" t="s">
        <v>86</v>
      </c>
      <c r="D31" s="3" t="s">
        <v>87</v>
      </c>
      <c r="E31" s="3">
        <v>1</v>
      </c>
      <c r="F31" s="3" t="s">
        <v>18</v>
      </c>
      <c r="G31" s="3" t="s">
        <v>17</v>
      </c>
      <c r="H31" s="3" t="s">
        <v>13</v>
      </c>
      <c r="I31" s="6" t="s">
        <v>293</v>
      </c>
      <c r="J31" s="3" t="s">
        <v>19</v>
      </c>
      <c r="K31" s="3"/>
      <c r="L31">
        <v>2.8E-5</v>
      </c>
    </row>
    <row r="32" spans="1:12" x14ac:dyDescent="0.2">
      <c r="A32" s="14" t="s">
        <v>101</v>
      </c>
      <c r="B32" s="14" t="s">
        <v>17</v>
      </c>
      <c r="C32" s="14" t="s">
        <v>89</v>
      </c>
      <c r="D32" s="14" t="s">
        <v>87</v>
      </c>
      <c r="E32" s="14">
        <v>1</v>
      </c>
      <c r="F32" s="14" t="s">
        <v>18</v>
      </c>
      <c r="G32" s="14" t="s">
        <v>17</v>
      </c>
      <c r="H32" s="14" t="s">
        <v>13</v>
      </c>
      <c r="I32" s="19" t="s">
        <v>297</v>
      </c>
      <c r="J32" s="14" t="s">
        <v>12</v>
      </c>
      <c r="K32" s="14"/>
      <c r="L32">
        <v>2.8E-5</v>
      </c>
    </row>
    <row r="33" spans="1:12" x14ac:dyDescent="0.2">
      <c r="A33" s="3" t="s">
        <v>101</v>
      </c>
      <c r="B33" s="3" t="s">
        <v>9</v>
      </c>
      <c r="C33" s="3" t="s">
        <v>90</v>
      </c>
      <c r="D33" s="3" t="s">
        <v>91</v>
      </c>
      <c r="E33" s="3">
        <v>1</v>
      </c>
      <c r="F33" s="3" t="s">
        <v>15</v>
      </c>
      <c r="G33" s="3" t="s">
        <v>14</v>
      </c>
      <c r="H33" s="3" t="s">
        <v>13</v>
      </c>
      <c r="I33" s="6" t="s">
        <v>293</v>
      </c>
      <c r="J33" s="3" t="s">
        <v>12</v>
      </c>
      <c r="K33" s="3"/>
      <c r="L33">
        <v>1</v>
      </c>
    </row>
    <row r="34" spans="1:12" x14ac:dyDescent="0.2">
      <c r="A34" s="3" t="s">
        <v>99</v>
      </c>
      <c r="B34" s="3" t="s">
        <v>9</v>
      </c>
      <c r="C34" s="3" t="s">
        <v>116</v>
      </c>
      <c r="D34" s="3" t="s">
        <v>117</v>
      </c>
      <c r="E34" s="3">
        <v>1</v>
      </c>
      <c r="F34" s="3" t="s">
        <v>15</v>
      </c>
      <c r="G34" s="3" t="s">
        <v>14</v>
      </c>
      <c r="H34" s="3" t="s">
        <v>25</v>
      </c>
      <c r="I34" s="6" t="s">
        <v>293</v>
      </c>
      <c r="J34" s="3" t="s">
        <v>114</v>
      </c>
      <c r="K34" s="3" t="s">
        <v>115</v>
      </c>
      <c r="L34">
        <v>1</v>
      </c>
    </row>
    <row r="35" spans="1:12" x14ac:dyDescent="0.2">
      <c r="A35" s="3" t="s">
        <v>99</v>
      </c>
      <c r="B35" s="3" t="s">
        <v>17</v>
      </c>
      <c r="C35" s="3" t="s">
        <v>102</v>
      </c>
      <c r="D35" s="3" t="s">
        <v>100</v>
      </c>
      <c r="E35" s="3">
        <v>1</v>
      </c>
      <c r="F35" s="3" t="s">
        <v>15</v>
      </c>
      <c r="G35" s="3" t="s">
        <v>14</v>
      </c>
      <c r="H35" s="3" t="s">
        <v>34</v>
      </c>
      <c r="I35" s="6" t="s">
        <v>293</v>
      </c>
      <c r="J35" s="3"/>
      <c r="K35" s="7" t="s">
        <v>33</v>
      </c>
      <c r="L35">
        <v>1</v>
      </c>
    </row>
    <row r="36" spans="1:12" x14ac:dyDescent="0.2">
      <c r="A36" s="3" t="s">
        <v>99</v>
      </c>
      <c r="B36" s="3" t="s">
        <v>3</v>
      </c>
      <c r="C36" s="3" t="s">
        <v>107</v>
      </c>
      <c r="D36" s="3" t="s">
        <v>106</v>
      </c>
      <c r="E36" s="3">
        <v>1</v>
      </c>
      <c r="F36" s="3" t="s">
        <v>15</v>
      </c>
      <c r="G36" s="3" t="s">
        <v>14</v>
      </c>
      <c r="H36" s="3" t="s">
        <v>34</v>
      </c>
      <c r="I36" s="6" t="s">
        <v>293</v>
      </c>
      <c r="J36" s="3"/>
      <c r="K36" s="3" t="s">
        <v>37</v>
      </c>
      <c r="L36">
        <v>1</v>
      </c>
    </row>
    <row r="37" spans="1:12" x14ac:dyDescent="0.2">
      <c r="A37" s="3" t="s">
        <v>235</v>
      </c>
      <c r="B37" s="3" t="s">
        <v>9</v>
      </c>
      <c r="C37" s="3" t="s">
        <v>241</v>
      </c>
      <c r="D37" s="3" t="s">
        <v>247</v>
      </c>
      <c r="E37" s="3">
        <v>1</v>
      </c>
      <c r="F37" s="3" t="s">
        <v>15</v>
      </c>
      <c r="G37" s="3" t="s">
        <v>14</v>
      </c>
      <c r="H37" s="3" t="s">
        <v>237</v>
      </c>
      <c r="I37" s="3" t="s">
        <v>298</v>
      </c>
      <c r="J37" s="7" t="s">
        <v>238</v>
      </c>
      <c r="K37" s="9" t="s">
        <v>246</v>
      </c>
      <c r="L37">
        <v>1</v>
      </c>
    </row>
    <row r="38" spans="1:12" x14ac:dyDescent="0.2">
      <c r="A38" s="3" t="s">
        <v>235</v>
      </c>
      <c r="B38" s="3" t="s">
        <v>9</v>
      </c>
      <c r="C38" s="3" t="s">
        <v>234</v>
      </c>
      <c r="D38" s="3" t="s">
        <v>236</v>
      </c>
      <c r="E38" s="3">
        <v>1</v>
      </c>
      <c r="F38" s="3" t="s">
        <v>15</v>
      </c>
      <c r="G38" s="3" t="s">
        <v>14</v>
      </c>
      <c r="H38" s="3" t="s">
        <v>237</v>
      </c>
      <c r="I38" s="3" t="s">
        <v>298</v>
      </c>
      <c r="J38" s="7" t="s">
        <v>238</v>
      </c>
      <c r="K38" s="3" t="s">
        <v>239</v>
      </c>
      <c r="L38">
        <v>1</v>
      </c>
    </row>
    <row r="39" spans="1:12" x14ac:dyDescent="0.2">
      <c r="A39" s="3" t="s">
        <v>235</v>
      </c>
      <c r="B39" s="3" t="s">
        <v>17</v>
      </c>
      <c r="C39" s="3" t="s">
        <v>245</v>
      </c>
      <c r="D39" s="3" t="s">
        <v>242</v>
      </c>
      <c r="E39" s="3">
        <v>0</v>
      </c>
      <c r="F39" s="3" t="s">
        <v>0</v>
      </c>
      <c r="G39" s="3" t="s">
        <v>0</v>
      </c>
      <c r="H39" s="3" t="s">
        <v>0</v>
      </c>
      <c r="I39" s="3" t="s">
        <v>0</v>
      </c>
      <c r="J39" s="3" t="s">
        <v>0</v>
      </c>
      <c r="K39" s="3" t="s">
        <v>0</v>
      </c>
    </row>
    <row r="40" spans="1:12" x14ac:dyDescent="0.2">
      <c r="A40" s="3" t="s">
        <v>235</v>
      </c>
      <c r="B40" s="3" t="s">
        <v>17</v>
      </c>
      <c r="C40" s="3" t="s">
        <v>244</v>
      </c>
      <c r="D40" s="3" t="s">
        <v>242</v>
      </c>
      <c r="E40" s="3">
        <v>0</v>
      </c>
      <c r="F40" s="3" t="s">
        <v>0</v>
      </c>
      <c r="G40" s="3" t="s">
        <v>0</v>
      </c>
      <c r="H40" s="3" t="s">
        <v>0</v>
      </c>
      <c r="I40" s="3" t="s">
        <v>0</v>
      </c>
      <c r="J40" s="3" t="s">
        <v>0</v>
      </c>
      <c r="K40" s="3" t="s">
        <v>0</v>
      </c>
    </row>
    <row r="41" spans="1:12" x14ac:dyDescent="0.2">
      <c r="A41" s="3" t="s">
        <v>235</v>
      </c>
      <c r="B41" s="3" t="s">
        <v>17</v>
      </c>
      <c r="C41" s="3" t="s">
        <v>243</v>
      </c>
      <c r="D41" s="3" t="s">
        <v>242</v>
      </c>
      <c r="E41" s="3">
        <v>0</v>
      </c>
      <c r="F41" s="3" t="s">
        <v>0</v>
      </c>
      <c r="G41" s="3" t="s">
        <v>0</v>
      </c>
      <c r="H41" s="3" t="s">
        <v>0</v>
      </c>
      <c r="I41" s="3" t="s">
        <v>0</v>
      </c>
      <c r="J41" s="3" t="s">
        <v>0</v>
      </c>
      <c r="K41" s="3" t="s">
        <v>0</v>
      </c>
    </row>
    <row r="42" spans="1:12" x14ac:dyDescent="0.2">
      <c r="A42" s="3" t="s">
        <v>235</v>
      </c>
      <c r="B42" s="3" t="s">
        <v>9</v>
      </c>
      <c r="C42" s="3" t="s">
        <v>253</v>
      </c>
      <c r="D42" s="3" t="s">
        <v>252</v>
      </c>
      <c r="E42" s="3">
        <v>0</v>
      </c>
      <c r="F42" s="3" t="s">
        <v>0</v>
      </c>
      <c r="G42" s="3" t="s">
        <v>0</v>
      </c>
      <c r="H42" s="3" t="s">
        <v>0</v>
      </c>
      <c r="I42" s="3" t="s">
        <v>0</v>
      </c>
      <c r="J42" s="3" t="s">
        <v>0</v>
      </c>
      <c r="K42" s="3" t="s">
        <v>0</v>
      </c>
    </row>
    <row r="43" spans="1:12" x14ac:dyDescent="0.2">
      <c r="A43" s="3" t="s">
        <v>4</v>
      </c>
      <c r="B43" s="3" t="s">
        <v>9</v>
      </c>
      <c r="C43" s="3" t="s">
        <v>11</v>
      </c>
      <c r="D43" s="3" t="s">
        <v>7</v>
      </c>
      <c r="E43" s="3">
        <v>0</v>
      </c>
      <c r="F43" s="3" t="s">
        <v>0</v>
      </c>
      <c r="G43" s="3" t="s">
        <v>0</v>
      </c>
      <c r="H43" s="3" t="s">
        <v>0</v>
      </c>
      <c r="I43" s="3" t="s">
        <v>0</v>
      </c>
      <c r="J43" s="3" t="s">
        <v>0</v>
      </c>
      <c r="K43" s="3" t="s">
        <v>0</v>
      </c>
    </row>
    <row r="44" spans="1:12" x14ac:dyDescent="0.2">
      <c r="A44" s="3" t="s">
        <v>4</v>
      </c>
      <c r="B44" s="3" t="s">
        <v>9</v>
      </c>
      <c r="C44" s="3" t="s">
        <v>10</v>
      </c>
      <c r="D44" s="3" t="s">
        <v>7</v>
      </c>
      <c r="E44" s="3">
        <v>0</v>
      </c>
      <c r="F44" s="3" t="s">
        <v>0</v>
      </c>
      <c r="G44" s="3" t="s">
        <v>0</v>
      </c>
      <c r="H44" s="3" t="s">
        <v>0</v>
      </c>
      <c r="I44" s="3" t="s">
        <v>0</v>
      </c>
      <c r="J44" s="3" t="s">
        <v>0</v>
      </c>
      <c r="K44" s="3" t="s">
        <v>0</v>
      </c>
    </row>
    <row r="45" spans="1:12" x14ac:dyDescent="0.2">
      <c r="A45" s="3" t="s">
        <v>4</v>
      </c>
      <c r="B45" s="3" t="s">
        <v>9</v>
      </c>
      <c r="C45" s="3" t="s">
        <v>8</v>
      </c>
      <c r="D45" s="3" t="s">
        <v>7</v>
      </c>
      <c r="E45" s="3">
        <v>0</v>
      </c>
      <c r="F45" s="3" t="s">
        <v>0</v>
      </c>
      <c r="G45" s="3" t="s">
        <v>0</v>
      </c>
      <c r="H45" s="3" t="s">
        <v>0</v>
      </c>
      <c r="I45" s="3" t="s">
        <v>0</v>
      </c>
      <c r="J45" s="3" t="s">
        <v>0</v>
      </c>
      <c r="K45" s="3" t="s">
        <v>0</v>
      </c>
    </row>
    <row r="46" spans="1:12" x14ac:dyDescent="0.2">
      <c r="A46" s="3" t="s">
        <v>4</v>
      </c>
      <c r="B46" s="3" t="s">
        <v>3</v>
      </c>
      <c r="C46" s="3" t="s">
        <v>6</v>
      </c>
      <c r="D46" s="3" t="s">
        <v>1</v>
      </c>
      <c r="E46" s="3">
        <v>0</v>
      </c>
      <c r="F46" s="3" t="s">
        <v>0</v>
      </c>
      <c r="G46" s="3" t="s">
        <v>0</v>
      </c>
      <c r="H46" s="3" t="s">
        <v>0</v>
      </c>
      <c r="I46" s="3" t="s">
        <v>0</v>
      </c>
      <c r="J46" s="3" t="s">
        <v>0</v>
      </c>
      <c r="K46" s="3" t="s">
        <v>0</v>
      </c>
    </row>
    <row r="47" spans="1:12" x14ac:dyDescent="0.2">
      <c r="A47" s="3" t="s">
        <v>4</v>
      </c>
      <c r="B47" s="3" t="s">
        <v>3</v>
      </c>
      <c r="C47" s="3" t="s">
        <v>5</v>
      </c>
      <c r="D47" s="3" t="s">
        <v>1</v>
      </c>
      <c r="E47" s="3">
        <v>0</v>
      </c>
      <c r="F47" s="3" t="s">
        <v>0</v>
      </c>
      <c r="G47" s="3" t="s">
        <v>0</v>
      </c>
      <c r="H47" s="3" t="s">
        <v>0</v>
      </c>
      <c r="I47" s="3" t="s">
        <v>0</v>
      </c>
      <c r="J47" s="3" t="s">
        <v>0</v>
      </c>
      <c r="K47" s="3" t="s">
        <v>0</v>
      </c>
    </row>
    <row r="48" spans="1:12" x14ac:dyDescent="0.2">
      <c r="A48" s="3" t="s">
        <v>4</v>
      </c>
      <c r="B48" s="3" t="s">
        <v>3</v>
      </c>
      <c r="C48" s="3" t="s">
        <v>2</v>
      </c>
      <c r="D48" s="3" t="s">
        <v>1</v>
      </c>
      <c r="E48" s="3">
        <v>0</v>
      </c>
      <c r="F48" s="3" t="s">
        <v>0</v>
      </c>
      <c r="G48" s="3" t="s">
        <v>0</v>
      </c>
      <c r="H48" s="3" t="s">
        <v>0</v>
      </c>
      <c r="I48" s="3" t="s">
        <v>0</v>
      </c>
      <c r="J48" s="3" t="s">
        <v>0</v>
      </c>
      <c r="K48" s="3" t="s">
        <v>0</v>
      </c>
    </row>
    <row r="49" spans="1:12" x14ac:dyDescent="0.2">
      <c r="A49" s="3" t="s">
        <v>135</v>
      </c>
      <c r="B49" s="3" t="s">
        <v>163</v>
      </c>
      <c r="C49" s="3" t="s">
        <v>161</v>
      </c>
      <c r="D49" s="3" t="s">
        <v>162</v>
      </c>
      <c r="E49" s="3">
        <v>1</v>
      </c>
      <c r="F49" s="3" t="s">
        <v>18</v>
      </c>
      <c r="G49" s="3" t="s">
        <v>14</v>
      </c>
      <c r="H49" s="3" t="s">
        <v>112</v>
      </c>
      <c r="I49" s="6" t="s">
        <v>294</v>
      </c>
      <c r="J49" s="3" t="s">
        <v>299</v>
      </c>
      <c r="K49" s="3" t="s">
        <v>164</v>
      </c>
      <c r="L49">
        <v>9.9999999999999995E-7</v>
      </c>
    </row>
    <row r="50" spans="1:12" x14ac:dyDescent="0.2">
      <c r="A50" s="3" t="s">
        <v>135</v>
      </c>
      <c r="B50" s="3" t="s">
        <v>9</v>
      </c>
      <c r="C50" s="3" t="s">
        <v>136</v>
      </c>
      <c r="D50" s="3" t="s">
        <v>137</v>
      </c>
      <c r="E50" s="3">
        <v>1</v>
      </c>
      <c r="F50" s="3" t="s">
        <v>18</v>
      </c>
      <c r="G50" s="3" t="s">
        <v>14</v>
      </c>
      <c r="H50" s="3" t="s">
        <v>112</v>
      </c>
      <c r="I50" s="6" t="s">
        <v>294</v>
      </c>
      <c r="J50" s="3" t="s">
        <v>113</v>
      </c>
      <c r="K50" s="7" t="s">
        <v>138</v>
      </c>
      <c r="L50">
        <v>9.9999999999999995E-7</v>
      </c>
    </row>
    <row r="51" spans="1:12" x14ac:dyDescent="0.2">
      <c r="A51" s="3" t="s">
        <v>135</v>
      </c>
      <c r="B51" s="3" t="s">
        <v>9</v>
      </c>
      <c r="C51" s="3" t="s">
        <v>143</v>
      </c>
      <c r="D51" s="3" t="s">
        <v>137</v>
      </c>
      <c r="E51" s="3">
        <v>1</v>
      </c>
      <c r="F51" s="3" t="s">
        <v>18</v>
      </c>
      <c r="G51" s="3" t="s">
        <v>14</v>
      </c>
      <c r="H51" s="3" t="s">
        <v>112</v>
      </c>
      <c r="I51" s="6" t="s">
        <v>294</v>
      </c>
      <c r="J51" s="3" t="s">
        <v>113</v>
      </c>
      <c r="K51" s="7" t="s">
        <v>144</v>
      </c>
      <c r="L51">
        <v>9.9999999999999995E-7</v>
      </c>
    </row>
    <row r="52" spans="1:12" x14ac:dyDescent="0.2">
      <c r="A52" s="3" t="s">
        <v>135</v>
      </c>
      <c r="B52" s="3" t="s">
        <v>9</v>
      </c>
      <c r="C52" s="3" t="s">
        <v>141</v>
      </c>
      <c r="D52" s="3" t="s">
        <v>137</v>
      </c>
      <c r="E52" s="3">
        <v>1</v>
      </c>
      <c r="F52" s="3" t="s">
        <v>18</v>
      </c>
      <c r="G52" s="3" t="s">
        <v>14</v>
      </c>
      <c r="H52" s="3" t="s">
        <v>112</v>
      </c>
      <c r="I52" s="6" t="s">
        <v>294</v>
      </c>
      <c r="J52" s="3" t="s">
        <v>113</v>
      </c>
      <c r="K52" s="7" t="s">
        <v>142</v>
      </c>
      <c r="L52">
        <v>9.9999999999999995E-7</v>
      </c>
    </row>
    <row r="53" spans="1:12" x14ac:dyDescent="0.2">
      <c r="A53" s="3" t="s">
        <v>135</v>
      </c>
      <c r="B53" s="3" t="s">
        <v>9</v>
      </c>
      <c r="C53" s="3" t="s">
        <v>139</v>
      </c>
      <c r="D53" s="3" t="s">
        <v>137</v>
      </c>
      <c r="E53" s="3">
        <v>1</v>
      </c>
      <c r="F53" s="3" t="s">
        <v>18</v>
      </c>
      <c r="G53" s="3" t="s">
        <v>14</v>
      </c>
      <c r="H53" s="3" t="s">
        <v>112</v>
      </c>
      <c r="I53" s="6" t="s">
        <v>294</v>
      </c>
      <c r="J53" s="3" t="s">
        <v>113</v>
      </c>
      <c r="K53" s="7" t="s">
        <v>300</v>
      </c>
      <c r="L53">
        <v>9.9999999999999995E-7</v>
      </c>
    </row>
    <row r="54" spans="1:12" x14ac:dyDescent="0.2">
      <c r="A54" s="3" t="s">
        <v>135</v>
      </c>
      <c r="B54" s="3" t="s">
        <v>3</v>
      </c>
      <c r="C54" s="3" t="s">
        <v>145</v>
      </c>
      <c r="D54" s="3" t="s">
        <v>146</v>
      </c>
      <c r="E54" s="3">
        <v>1</v>
      </c>
      <c r="F54" s="3" t="s">
        <v>18</v>
      </c>
      <c r="G54" s="3" t="s">
        <v>14</v>
      </c>
      <c r="H54" s="3" t="s">
        <v>112</v>
      </c>
      <c r="I54" s="6" t="s">
        <v>294</v>
      </c>
      <c r="J54" s="3" t="s">
        <v>113</v>
      </c>
      <c r="K54" s="7" t="s">
        <v>147</v>
      </c>
      <c r="L54">
        <v>9.9999999999999995E-7</v>
      </c>
    </row>
    <row r="55" spans="1:12" x14ac:dyDescent="0.2">
      <c r="A55" s="3" t="s">
        <v>135</v>
      </c>
      <c r="B55" s="3" t="s">
        <v>17</v>
      </c>
      <c r="C55" s="3" t="s">
        <v>165</v>
      </c>
      <c r="D55" s="3" t="s">
        <v>166</v>
      </c>
      <c r="E55" s="3">
        <v>0</v>
      </c>
      <c r="F55" s="3" t="s">
        <v>0</v>
      </c>
      <c r="G55" s="3" t="s">
        <v>0</v>
      </c>
      <c r="H55" s="3" t="s">
        <v>0</v>
      </c>
      <c r="I55" s="3" t="s">
        <v>0</v>
      </c>
      <c r="J55" s="3" t="s">
        <v>0</v>
      </c>
      <c r="K55" s="3" t="s">
        <v>0</v>
      </c>
    </row>
    <row r="56" spans="1:12" x14ac:dyDescent="0.2">
      <c r="A56" s="3" t="s">
        <v>135</v>
      </c>
      <c r="B56" s="3" t="s">
        <v>17</v>
      </c>
      <c r="C56" s="3" t="s">
        <v>167</v>
      </c>
      <c r="D56" s="3" t="s">
        <v>166</v>
      </c>
      <c r="E56" s="3">
        <v>0</v>
      </c>
      <c r="F56" s="3" t="s">
        <v>0</v>
      </c>
      <c r="G56" s="3" t="s">
        <v>0</v>
      </c>
      <c r="H56" s="3" t="s">
        <v>0</v>
      </c>
      <c r="I56" s="3" t="s">
        <v>0</v>
      </c>
      <c r="J56" s="3" t="s">
        <v>0</v>
      </c>
      <c r="K56" s="3" t="s">
        <v>0</v>
      </c>
    </row>
    <row r="57" spans="1:12" x14ac:dyDescent="0.2">
      <c r="A57" s="3" t="s">
        <v>135</v>
      </c>
      <c r="B57" s="3" t="s">
        <v>17</v>
      </c>
      <c r="C57" s="3" t="s">
        <v>168</v>
      </c>
      <c r="D57" s="3" t="s">
        <v>166</v>
      </c>
      <c r="E57" s="3">
        <v>0</v>
      </c>
      <c r="F57" s="3" t="s">
        <v>0</v>
      </c>
      <c r="G57" s="3" t="s">
        <v>0</v>
      </c>
      <c r="H57" s="3" t="s">
        <v>0</v>
      </c>
      <c r="I57" s="3" t="s">
        <v>0</v>
      </c>
      <c r="J57" s="3" t="s">
        <v>0</v>
      </c>
      <c r="K57" s="3" t="s">
        <v>0</v>
      </c>
    </row>
    <row r="58" spans="1:12" x14ac:dyDescent="0.2">
      <c r="A58" s="3" t="s">
        <v>135</v>
      </c>
      <c r="B58" s="3" t="s">
        <v>17</v>
      </c>
      <c r="C58" s="3" t="s">
        <v>169</v>
      </c>
      <c r="D58" s="3" t="s">
        <v>166</v>
      </c>
      <c r="E58" s="3">
        <v>0</v>
      </c>
      <c r="F58" s="3" t="s">
        <v>0</v>
      </c>
      <c r="G58" s="3" t="s">
        <v>0</v>
      </c>
      <c r="H58" s="3" t="s">
        <v>0</v>
      </c>
      <c r="I58" s="3" t="s">
        <v>0</v>
      </c>
      <c r="J58" s="3" t="s">
        <v>0</v>
      </c>
      <c r="K58" s="3" t="s">
        <v>0</v>
      </c>
    </row>
    <row r="59" spans="1:12" x14ac:dyDescent="0.2">
      <c r="A59" s="3" t="s">
        <v>135</v>
      </c>
      <c r="B59" s="3" t="s">
        <v>9</v>
      </c>
      <c r="C59" s="3" t="s">
        <v>149</v>
      </c>
      <c r="D59" s="3" t="s">
        <v>150</v>
      </c>
      <c r="E59" s="3">
        <v>0</v>
      </c>
      <c r="F59" s="3" t="s">
        <v>0</v>
      </c>
      <c r="G59" s="3" t="s">
        <v>0</v>
      </c>
      <c r="H59" s="3" t="s">
        <v>0</v>
      </c>
      <c r="I59" s="3" t="s">
        <v>0</v>
      </c>
      <c r="J59" s="3" t="s">
        <v>0</v>
      </c>
      <c r="K59" s="3" t="s">
        <v>0</v>
      </c>
    </row>
    <row r="60" spans="1:12" x14ac:dyDescent="0.2">
      <c r="A60" s="3" t="s">
        <v>135</v>
      </c>
      <c r="B60" s="3" t="s">
        <v>9</v>
      </c>
      <c r="C60" s="3" t="s">
        <v>151</v>
      </c>
      <c r="D60" s="3" t="s">
        <v>150</v>
      </c>
      <c r="E60" s="3">
        <v>0</v>
      </c>
      <c r="F60" s="3" t="s">
        <v>0</v>
      </c>
      <c r="G60" s="3" t="s">
        <v>0</v>
      </c>
      <c r="H60" s="3" t="s">
        <v>0</v>
      </c>
      <c r="I60" s="3" t="s">
        <v>0</v>
      </c>
      <c r="J60" s="3" t="s">
        <v>0</v>
      </c>
      <c r="K60" s="3" t="s">
        <v>0</v>
      </c>
    </row>
    <row r="61" spans="1:12" x14ac:dyDescent="0.2">
      <c r="A61" s="3" t="s">
        <v>135</v>
      </c>
      <c r="B61" s="3" t="s">
        <v>9</v>
      </c>
      <c r="C61" s="3" t="s">
        <v>152</v>
      </c>
      <c r="D61" s="3" t="s">
        <v>150</v>
      </c>
      <c r="E61" s="3">
        <v>0</v>
      </c>
      <c r="F61" s="3" t="s">
        <v>0</v>
      </c>
      <c r="G61" s="3" t="s">
        <v>0</v>
      </c>
      <c r="H61" s="3" t="s">
        <v>0</v>
      </c>
      <c r="I61" s="3" t="s">
        <v>0</v>
      </c>
      <c r="J61" s="3" t="s">
        <v>0</v>
      </c>
      <c r="K61" s="3" t="s">
        <v>0</v>
      </c>
    </row>
    <row r="62" spans="1:12" x14ac:dyDescent="0.2">
      <c r="A62" s="3" t="s">
        <v>135</v>
      </c>
      <c r="B62" s="3" t="s">
        <v>9</v>
      </c>
      <c r="C62" s="3" t="s">
        <v>153</v>
      </c>
      <c r="D62" s="3" t="s">
        <v>137</v>
      </c>
      <c r="E62" s="3">
        <v>0</v>
      </c>
      <c r="F62" s="3" t="s">
        <v>0</v>
      </c>
      <c r="G62" s="3" t="s">
        <v>0</v>
      </c>
      <c r="H62" s="3" t="s">
        <v>0</v>
      </c>
      <c r="I62" s="3" t="s">
        <v>0</v>
      </c>
      <c r="J62" s="3" t="s">
        <v>0</v>
      </c>
      <c r="K62" s="3" t="s">
        <v>0</v>
      </c>
    </row>
    <row r="63" spans="1:12" x14ac:dyDescent="0.2">
      <c r="A63" s="3" t="s">
        <v>135</v>
      </c>
      <c r="B63" s="3" t="s">
        <v>9</v>
      </c>
      <c r="C63" s="3" t="s">
        <v>154</v>
      </c>
      <c r="D63" s="3" t="s">
        <v>137</v>
      </c>
      <c r="E63" s="3">
        <v>0</v>
      </c>
      <c r="F63" s="3" t="s">
        <v>0</v>
      </c>
      <c r="G63" s="3" t="s">
        <v>0</v>
      </c>
      <c r="H63" s="3" t="s">
        <v>0</v>
      </c>
      <c r="I63" s="3" t="s">
        <v>0</v>
      </c>
      <c r="J63" s="3" t="s">
        <v>0</v>
      </c>
      <c r="K63" s="3" t="s">
        <v>0</v>
      </c>
    </row>
    <row r="64" spans="1:12" x14ac:dyDescent="0.2">
      <c r="A64" s="3" t="s">
        <v>135</v>
      </c>
      <c r="B64" s="3" t="s">
        <v>9</v>
      </c>
      <c r="C64" s="3" t="s">
        <v>155</v>
      </c>
      <c r="D64" s="3" t="s">
        <v>137</v>
      </c>
      <c r="E64" s="3">
        <v>0</v>
      </c>
      <c r="F64" s="3" t="s">
        <v>0</v>
      </c>
      <c r="G64" s="3" t="s">
        <v>0</v>
      </c>
      <c r="H64" s="3" t="s">
        <v>0</v>
      </c>
      <c r="I64" s="3" t="s">
        <v>0</v>
      </c>
      <c r="J64" s="3" t="s">
        <v>0</v>
      </c>
      <c r="K64" s="3" t="s">
        <v>0</v>
      </c>
    </row>
    <row r="65" spans="1:12" x14ac:dyDescent="0.2">
      <c r="A65" s="3" t="s">
        <v>135</v>
      </c>
      <c r="B65" s="3" t="s">
        <v>9</v>
      </c>
      <c r="C65" s="3" t="s">
        <v>156</v>
      </c>
      <c r="D65" s="3" t="s">
        <v>137</v>
      </c>
      <c r="E65" s="3">
        <v>0</v>
      </c>
      <c r="F65" s="3" t="s">
        <v>0</v>
      </c>
      <c r="G65" s="3" t="s">
        <v>0</v>
      </c>
      <c r="H65" s="3" t="s">
        <v>0</v>
      </c>
      <c r="I65" s="3" t="s">
        <v>0</v>
      </c>
      <c r="J65" s="3" t="s">
        <v>0</v>
      </c>
      <c r="K65" s="3" t="s">
        <v>0</v>
      </c>
    </row>
    <row r="66" spans="1:12" x14ac:dyDescent="0.2">
      <c r="A66" s="3" t="s">
        <v>135</v>
      </c>
      <c r="B66" s="3" t="s">
        <v>9</v>
      </c>
      <c r="C66" s="3" t="s">
        <v>157</v>
      </c>
      <c r="D66" s="3" t="s">
        <v>137</v>
      </c>
      <c r="E66" s="3">
        <v>0</v>
      </c>
      <c r="F66" s="3" t="s">
        <v>0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0</v>
      </c>
    </row>
    <row r="67" spans="1:12" x14ac:dyDescent="0.2">
      <c r="A67" s="3" t="s">
        <v>135</v>
      </c>
      <c r="B67" s="3" t="s">
        <v>3</v>
      </c>
      <c r="C67" s="3" t="s">
        <v>158</v>
      </c>
      <c r="D67" s="3" t="s">
        <v>146</v>
      </c>
      <c r="E67" s="3">
        <v>0</v>
      </c>
      <c r="F67" s="3" t="s">
        <v>0</v>
      </c>
      <c r="G67" s="3" t="s">
        <v>0</v>
      </c>
      <c r="H67" s="3" t="s">
        <v>0</v>
      </c>
      <c r="I67" s="3" t="s">
        <v>0</v>
      </c>
      <c r="J67" s="3" t="s">
        <v>0</v>
      </c>
      <c r="K67" s="3" t="s">
        <v>0</v>
      </c>
    </row>
    <row r="68" spans="1:12" x14ac:dyDescent="0.2">
      <c r="A68" s="3" t="s">
        <v>135</v>
      </c>
      <c r="B68" s="3" t="s">
        <v>3</v>
      </c>
      <c r="C68" s="3" t="s">
        <v>159</v>
      </c>
      <c r="D68" s="3" t="s">
        <v>146</v>
      </c>
      <c r="E68" s="3">
        <v>0</v>
      </c>
      <c r="F68" s="3" t="s">
        <v>0</v>
      </c>
      <c r="G68" s="3" t="s">
        <v>0</v>
      </c>
      <c r="H68" s="3" t="s">
        <v>0</v>
      </c>
      <c r="I68" s="3" t="s">
        <v>0</v>
      </c>
      <c r="J68" s="3" t="s">
        <v>0</v>
      </c>
      <c r="K68" s="3" t="s">
        <v>0</v>
      </c>
    </row>
    <row r="69" spans="1:12" x14ac:dyDescent="0.2">
      <c r="A69" s="3" t="s">
        <v>135</v>
      </c>
      <c r="B69" s="3" t="s">
        <v>3</v>
      </c>
      <c r="C69" s="3" t="s">
        <v>160</v>
      </c>
      <c r="D69" s="3" t="s">
        <v>146</v>
      </c>
      <c r="E69" s="3">
        <v>0</v>
      </c>
      <c r="F69" s="3" t="s">
        <v>0</v>
      </c>
      <c r="G69" s="3" t="s">
        <v>0</v>
      </c>
      <c r="H69" s="3" t="s">
        <v>0</v>
      </c>
      <c r="I69" s="3" t="s">
        <v>0</v>
      </c>
      <c r="J69" s="3" t="s">
        <v>0</v>
      </c>
      <c r="K69" s="3" t="s">
        <v>0</v>
      </c>
    </row>
    <row r="70" spans="1:12" x14ac:dyDescent="0.2">
      <c r="A70" s="3" t="s">
        <v>249</v>
      </c>
      <c r="B70" s="3" t="s">
        <v>9</v>
      </c>
      <c r="C70" s="3" t="s">
        <v>248</v>
      </c>
      <c r="D70" s="3" t="s">
        <v>250</v>
      </c>
      <c r="E70" s="3">
        <v>1</v>
      </c>
      <c r="F70" s="3" t="s">
        <v>15</v>
      </c>
      <c r="G70" s="3" t="s">
        <v>14</v>
      </c>
      <c r="H70" s="3" t="s">
        <v>237</v>
      </c>
      <c r="I70" s="3" t="s">
        <v>298</v>
      </c>
      <c r="J70" s="3" t="s">
        <v>251</v>
      </c>
      <c r="K70" s="9"/>
      <c r="L70">
        <v>1</v>
      </c>
    </row>
    <row r="71" spans="1:12" x14ac:dyDescent="0.2">
      <c r="A71" s="3" t="s">
        <v>249</v>
      </c>
      <c r="B71" s="3" t="s">
        <v>9</v>
      </c>
      <c r="C71" s="3" t="s">
        <v>260</v>
      </c>
      <c r="D71" s="3" t="s">
        <v>257</v>
      </c>
      <c r="E71" s="3">
        <v>1</v>
      </c>
      <c r="F71" s="3" t="s">
        <v>15</v>
      </c>
      <c r="G71" s="3" t="s">
        <v>14</v>
      </c>
      <c r="H71" s="3" t="s">
        <v>237</v>
      </c>
      <c r="I71" s="3" t="s">
        <v>298</v>
      </c>
      <c r="J71" s="7" t="s">
        <v>261</v>
      </c>
      <c r="K71" s="9" t="s">
        <v>239</v>
      </c>
      <c r="L71">
        <v>1</v>
      </c>
    </row>
    <row r="72" spans="1:12" x14ac:dyDescent="0.2">
      <c r="A72" s="3" t="s">
        <v>249</v>
      </c>
      <c r="B72" s="3" t="s">
        <v>17</v>
      </c>
      <c r="C72" s="3" t="s">
        <v>254</v>
      </c>
      <c r="D72" s="3" t="s">
        <v>255</v>
      </c>
      <c r="E72" s="3">
        <v>0</v>
      </c>
      <c r="F72" s="3" t="s">
        <v>0</v>
      </c>
      <c r="G72" s="3" t="s">
        <v>0</v>
      </c>
      <c r="H72" s="3" t="s">
        <v>0</v>
      </c>
      <c r="I72" s="3" t="s">
        <v>0</v>
      </c>
      <c r="J72" s="3" t="s">
        <v>0</v>
      </c>
      <c r="K72" s="3" t="s">
        <v>0</v>
      </c>
    </row>
    <row r="73" spans="1:12" x14ac:dyDescent="0.2">
      <c r="A73" s="3" t="s">
        <v>249</v>
      </c>
      <c r="B73" s="3" t="s">
        <v>9</v>
      </c>
      <c r="C73" s="3" t="s">
        <v>265</v>
      </c>
      <c r="D73" s="3" t="s">
        <v>250</v>
      </c>
      <c r="E73" s="3">
        <v>0</v>
      </c>
      <c r="F73" s="3" t="s">
        <v>0</v>
      </c>
      <c r="G73" s="3" t="s">
        <v>0</v>
      </c>
      <c r="H73" s="3" t="s">
        <v>0</v>
      </c>
      <c r="I73" s="3" t="s">
        <v>0</v>
      </c>
      <c r="J73" s="3" t="s">
        <v>0</v>
      </c>
      <c r="K73" s="3" t="s">
        <v>0</v>
      </c>
    </row>
    <row r="74" spans="1:12" x14ac:dyDescent="0.2">
      <c r="A74" s="3" t="s">
        <v>249</v>
      </c>
      <c r="B74" s="3" t="s">
        <v>9</v>
      </c>
      <c r="C74" s="3" t="s">
        <v>263</v>
      </c>
      <c r="D74" s="3" t="s">
        <v>257</v>
      </c>
      <c r="E74" s="3">
        <v>0</v>
      </c>
      <c r="F74" s="3" t="s">
        <v>0</v>
      </c>
      <c r="G74" s="3" t="s">
        <v>0</v>
      </c>
      <c r="H74" s="3" t="s">
        <v>0</v>
      </c>
      <c r="I74" s="3" t="s">
        <v>0</v>
      </c>
      <c r="J74" s="3" t="s">
        <v>0</v>
      </c>
      <c r="K74" s="3" t="s">
        <v>0</v>
      </c>
    </row>
    <row r="75" spans="1:12" x14ac:dyDescent="0.2">
      <c r="A75" s="3" t="s">
        <v>249</v>
      </c>
      <c r="B75" s="3" t="s">
        <v>9</v>
      </c>
      <c r="C75" s="3" t="s">
        <v>256</v>
      </c>
      <c r="D75" s="3" t="s">
        <v>257</v>
      </c>
      <c r="E75" s="3">
        <v>0</v>
      </c>
      <c r="F75" s="3" t="s">
        <v>0</v>
      </c>
      <c r="G75" s="3" t="s">
        <v>0</v>
      </c>
      <c r="H75" s="3" t="s">
        <v>0</v>
      </c>
      <c r="I75" s="3" t="s">
        <v>0</v>
      </c>
      <c r="J75" s="3" t="s">
        <v>0</v>
      </c>
      <c r="K75" s="3" t="s">
        <v>0</v>
      </c>
    </row>
    <row r="76" spans="1:12" x14ac:dyDescent="0.2">
      <c r="A76" s="14" t="s">
        <v>185</v>
      </c>
      <c r="B76" s="14" t="s">
        <v>17</v>
      </c>
      <c r="C76" s="14" t="s">
        <v>183</v>
      </c>
      <c r="D76" s="14" t="s">
        <v>184</v>
      </c>
      <c r="E76" s="14">
        <v>1</v>
      </c>
      <c r="F76" s="14" t="s">
        <v>15</v>
      </c>
      <c r="G76" s="14" t="s">
        <v>17</v>
      </c>
      <c r="H76" s="14" t="s">
        <v>171</v>
      </c>
      <c r="I76" s="15" t="s">
        <v>291</v>
      </c>
      <c r="J76" s="15" t="s">
        <v>179</v>
      </c>
      <c r="K76" s="15" t="s">
        <v>175</v>
      </c>
      <c r="L76">
        <v>28</v>
      </c>
    </row>
    <row r="77" spans="1:12" x14ac:dyDescent="0.2">
      <c r="A77" s="14" t="s">
        <v>188</v>
      </c>
      <c r="B77" s="14" t="s">
        <v>17</v>
      </c>
      <c r="C77" s="14" t="s">
        <v>186</v>
      </c>
      <c r="D77" s="14"/>
      <c r="E77" s="14">
        <v>1</v>
      </c>
      <c r="F77" s="14" t="s">
        <v>15</v>
      </c>
      <c r="G77" s="14" t="s">
        <v>17</v>
      </c>
      <c r="H77" s="14" t="s">
        <v>171</v>
      </c>
      <c r="I77" s="15" t="s">
        <v>291</v>
      </c>
      <c r="J77" s="15" t="s">
        <v>179</v>
      </c>
      <c r="K77" s="15" t="s">
        <v>176</v>
      </c>
      <c r="L77">
        <v>28</v>
      </c>
    </row>
    <row r="78" spans="1:12" x14ac:dyDescent="0.2">
      <c r="A78" s="14" t="s">
        <v>188</v>
      </c>
      <c r="B78" s="14" t="s">
        <v>3</v>
      </c>
      <c r="C78" s="14" t="s">
        <v>195</v>
      </c>
      <c r="D78" s="14" t="s">
        <v>196</v>
      </c>
      <c r="E78" s="14">
        <v>1</v>
      </c>
      <c r="F78" s="14" t="s">
        <v>15</v>
      </c>
      <c r="G78" s="14" t="s">
        <v>3</v>
      </c>
      <c r="H78" s="14" t="s">
        <v>171</v>
      </c>
      <c r="I78" s="15" t="s">
        <v>291</v>
      </c>
      <c r="J78" s="15" t="s">
        <v>194</v>
      </c>
      <c r="K78" s="15" t="s">
        <v>176</v>
      </c>
      <c r="L78">
        <v>265</v>
      </c>
    </row>
    <row r="79" spans="1:12" x14ac:dyDescent="0.2">
      <c r="A79" s="3" t="s">
        <v>189</v>
      </c>
      <c r="B79" s="3" t="s">
        <v>9</v>
      </c>
      <c r="C79" s="3" t="s">
        <v>192</v>
      </c>
      <c r="D79" s="3" t="s">
        <v>193</v>
      </c>
      <c r="E79" s="3">
        <v>1</v>
      </c>
      <c r="F79" s="3" t="s">
        <v>15</v>
      </c>
      <c r="G79" s="3" t="s">
        <v>14</v>
      </c>
      <c r="H79" s="3" t="s">
        <v>171</v>
      </c>
      <c r="I79" s="5" t="s">
        <v>291</v>
      </c>
      <c r="J79" s="5" t="s">
        <v>172</v>
      </c>
      <c r="K79" s="5" t="s">
        <v>173</v>
      </c>
      <c r="L79">
        <v>1</v>
      </c>
    </row>
    <row r="80" spans="1:12" x14ac:dyDescent="0.2">
      <c r="A80" s="3" t="s">
        <v>189</v>
      </c>
      <c r="B80" s="3" t="s">
        <v>9</v>
      </c>
      <c r="C80" s="3" t="s">
        <v>190</v>
      </c>
      <c r="D80" s="3" t="s">
        <v>191</v>
      </c>
      <c r="E80" s="3">
        <v>1</v>
      </c>
      <c r="F80" s="3" t="s">
        <v>15</v>
      </c>
      <c r="G80" s="3" t="s">
        <v>14</v>
      </c>
      <c r="H80" s="3" t="s">
        <v>171</v>
      </c>
      <c r="I80" s="5" t="s">
        <v>291</v>
      </c>
      <c r="J80" s="5" t="s">
        <v>172</v>
      </c>
      <c r="K80" s="5" t="s">
        <v>174</v>
      </c>
      <c r="L80">
        <v>1</v>
      </c>
    </row>
    <row r="81" spans="1:12" x14ac:dyDescent="0.2">
      <c r="A81" s="14" t="s">
        <v>189</v>
      </c>
      <c r="B81" s="14" t="s">
        <v>3</v>
      </c>
      <c r="C81" s="14" t="s">
        <v>200</v>
      </c>
      <c r="D81" s="14" t="s">
        <v>201</v>
      </c>
      <c r="E81" s="14">
        <v>1</v>
      </c>
      <c r="F81" s="14" t="s">
        <v>18</v>
      </c>
      <c r="G81" s="14" t="s">
        <v>3</v>
      </c>
      <c r="H81" s="14" t="s">
        <v>171</v>
      </c>
      <c r="I81" s="14" t="s">
        <v>292</v>
      </c>
      <c r="J81" s="15" t="s">
        <v>205</v>
      </c>
      <c r="K81" s="20" t="s">
        <v>206</v>
      </c>
      <c r="L81">
        <v>2.6499999999999999E-4</v>
      </c>
    </row>
    <row r="82" spans="1:12" x14ac:dyDescent="0.2">
      <c r="A82" s="14" t="s">
        <v>189</v>
      </c>
      <c r="B82" s="14" t="s">
        <v>3</v>
      </c>
      <c r="C82" s="14" t="s">
        <v>208</v>
      </c>
      <c r="D82" s="14" t="s">
        <v>209</v>
      </c>
      <c r="E82" s="14">
        <v>1</v>
      </c>
      <c r="F82" s="14" t="s">
        <v>18</v>
      </c>
      <c r="G82" s="14" t="s">
        <v>3</v>
      </c>
      <c r="H82" s="14" t="s">
        <v>171</v>
      </c>
      <c r="I82" s="14" t="s">
        <v>292</v>
      </c>
      <c r="J82" s="15" t="s">
        <v>207</v>
      </c>
      <c r="K82" s="20" t="s">
        <v>206</v>
      </c>
      <c r="L82">
        <v>2.6499999999999999E-4</v>
      </c>
    </row>
    <row r="83" spans="1:12" x14ac:dyDescent="0.2">
      <c r="A83" s="3" t="s">
        <v>189</v>
      </c>
      <c r="B83" s="3" t="s">
        <v>9</v>
      </c>
      <c r="C83" s="3" t="s">
        <v>232</v>
      </c>
      <c r="D83" s="3" t="s">
        <v>233</v>
      </c>
      <c r="E83" s="3">
        <v>0</v>
      </c>
      <c r="F83" s="3" t="s">
        <v>0</v>
      </c>
      <c r="G83" s="3" t="s">
        <v>0</v>
      </c>
      <c r="H83" s="3" t="s">
        <v>0</v>
      </c>
      <c r="I83" s="3" t="s">
        <v>0</v>
      </c>
      <c r="J83" s="3" t="s">
        <v>0</v>
      </c>
      <c r="K83" s="3" t="s">
        <v>0</v>
      </c>
    </row>
    <row r="84" spans="1:12" x14ac:dyDescent="0.2">
      <c r="A84" s="3" t="s">
        <v>268</v>
      </c>
      <c r="B84" s="3" t="s">
        <v>17</v>
      </c>
      <c r="C84" s="3" t="s">
        <v>272</v>
      </c>
      <c r="D84" s="3" t="s">
        <v>273</v>
      </c>
      <c r="E84" s="3">
        <v>0</v>
      </c>
      <c r="F84" s="3" t="s">
        <v>0</v>
      </c>
      <c r="G84" s="3" t="s">
        <v>0</v>
      </c>
      <c r="H84" s="3" t="s">
        <v>0</v>
      </c>
      <c r="I84" s="3" t="s">
        <v>0</v>
      </c>
      <c r="J84" s="3" t="s">
        <v>0</v>
      </c>
      <c r="K84" s="3" t="s">
        <v>0</v>
      </c>
    </row>
    <row r="85" spans="1:12" x14ac:dyDescent="0.2">
      <c r="A85" s="3" t="s">
        <v>268</v>
      </c>
      <c r="B85" s="3" t="s">
        <v>17</v>
      </c>
      <c r="C85" s="3" t="s">
        <v>274</v>
      </c>
      <c r="D85" s="3" t="s">
        <v>275</v>
      </c>
      <c r="E85" s="3">
        <v>0</v>
      </c>
      <c r="F85" s="3" t="s">
        <v>0</v>
      </c>
      <c r="G85" s="3" t="s">
        <v>0</v>
      </c>
      <c r="H85" s="3" t="s">
        <v>0</v>
      </c>
      <c r="I85" s="3" t="s">
        <v>0</v>
      </c>
      <c r="J85" s="3" t="s">
        <v>0</v>
      </c>
      <c r="K85" s="3" t="s">
        <v>0</v>
      </c>
    </row>
    <row r="86" spans="1:12" x14ac:dyDescent="0.2">
      <c r="A86" s="3" t="s">
        <v>268</v>
      </c>
      <c r="B86" s="3" t="s">
        <v>17</v>
      </c>
      <c r="C86" s="3" t="s">
        <v>270</v>
      </c>
      <c r="D86" s="3" t="s">
        <v>271</v>
      </c>
      <c r="E86" s="3">
        <v>0</v>
      </c>
      <c r="F86" s="3" t="s">
        <v>0</v>
      </c>
      <c r="G86" s="3" t="s">
        <v>0</v>
      </c>
      <c r="H86" s="3" t="s">
        <v>0</v>
      </c>
      <c r="I86" s="3" t="s">
        <v>0</v>
      </c>
      <c r="J86" s="3" t="s">
        <v>0</v>
      </c>
      <c r="K86" s="3" t="s">
        <v>0</v>
      </c>
    </row>
    <row r="87" spans="1:12" x14ac:dyDescent="0.2">
      <c r="A87" s="3" t="s">
        <v>268</v>
      </c>
      <c r="B87" s="3" t="s">
        <v>3</v>
      </c>
      <c r="C87" s="3" t="s">
        <v>281</v>
      </c>
      <c r="D87" s="3" t="s">
        <v>280</v>
      </c>
      <c r="E87" s="3">
        <v>0</v>
      </c>
      <c r="F87" s="3" t="s">
        <v>0</v>
      </c>
      <c r="G87" s="3" t="s">
        <v>0</v>
      </c>
      <c r="H87" s="3" t="s">
        <v>0</v>
      </c>
      <c r="I87" s="3" t="s">
        <v>0</v>
      </c>
      <c r="J87" s="3" t="s">
        <v>0</v>
      </c>
      <c r="K87" s="3" t="s">
        <v>0</v>
      </c>
    </row>
    <row r="88" spans="1:12" x14ac:dyDescent="0.2">
      <c r="A88" s="3" t="s">
        <v>268</v>
      </c>
      <c r="B88" s="3" t="s">
        <v>17</v>
      </c>
      <c r="C88" s="3" t="s">
        <v>276</v>
      </c>
      <c r="D88" s="3" t="s">
        <v>277</v>
      </c>
      <c r="E88" s="3">
        <v>1</v>
      </c>
      <c r="F88" s="3" t="s">
        <v>18</v>
      </c>
      <c r="G88" s="3" t="s">
        <v>14</v>
      </c>
      <c r="H88" s="3" t="s">
        <v>269</v>
      </c>
      <c r="I88" s="10" t="s">
        <v>301</v>
      </c>
      <c r="J88" s="7" t="s">
        <v>33</v>
      </c>
      <c r="K88" s="9"/>
      <c r="L88">
        <v>9.9999999999999995E-7</v>
      </c>
    </row>
    <row r="89" spans="1:12" x14ac:dyDescent="0.2">
      <c r="A89" s="3" t="s">
        <v>268</v>
      </c>
      <c r="B89" s="3" t="s">
        <v>17</v>
      </c>
      <c r="C89" s="3" t="s">
        <v>266</v>
      </c>
      <c r="D89" s="3" t="s">
        <v>267</v>
      </c>
      <c r="E89" s="3">
        <v>1</v>
      </c>
      <c r="F89" s="3" t="s">
        <v>18</v>
      </c>
      <c r="G89" s="3" t="s">
        <v>14</v>
      </c>
      <c r="H89" s="3" t="s">
        <v>269</v>
      </c>
      <c r="I89" s="11" t="s">
        <v>302</v>
      </c>
      <c r="J89" s="10" t="s">
        <v>303</v>
      </c>
      <c r="K89" s="9"/>
      <c r="L89">
        <v>9.9999999999999995E-7</v>
      </c>
    </row>
    <row r="90" spans="1:12" x14ac:dyDescent="0.2">
      <c r="A90" s="3" t="s">
        <v>268</v>
      </c>
      <c r="B90" s="3" t="s">
        <v>9</v>
      </c>
      <c r="C90" s="3" t="s">
        <v>279</v>
      </c>
      <c r="D90" s="3" t="s">
        <v>278</v>
      </c>
      <c r="E90" s="3">
        <v>1</v>
      </c>
      <c r="F90" s="3" t="s">
        <v>18</v>
      </c>
      <c r="G90" s="3" t="s">
        <v>14</v>
      </c>
      <c r="H90" s="3" t="s">
        <v>269</v>
      </c>
      <c r="I90" s="10" t="s">
        <v>301</v>
      </c>
      <c r="J90" s="11" t="s">
        <v>304</v>
      </c>
      <c r="K90" s="9"/>
      <c r="L90">
        <v>9.9999999999999995E-7</v>
      </c>
    </row>
    <row r="91" spans="1:12" x14ac:dyDescent="0.2">
      <c r="A91" s="3" t="s">
        <v>268</v>
      </c>
      <c r="B91" s="3" t="s">
        <v>3</v>
      </c>
      <c r="C91" s="3" t="s">
        <v>282</v>
      </c>
      <c r="D91" s="3" t="s">
        <v>283</v>
      </c>
      <c r="E91" s="3">
        <v>1</v>
      </c>
      <c r="F91" s="3" t="s">
        <v>18</v>
      </c>
      <c r="G91" s="3" t="s">
        <v>14</v>
      </c>
      <c r="H91" s="3" t="s">
        <v>269</v>
      </c>
      <c r="I91" s="10" t="s">
        <v>301</v>
      </c>
      <c r="J91" s="11" t="s">
        <v>305</v>
      </c>
      <c r="K91" s="9"/>
      <c r="L91">
        <v>9.9999999999999995E-7</v>
      </c>
    </row>
    <row r="92" spans="1:12" x14ac:dyDescent="0.2">
      <c r="A92" s="3" t="s">
        <v>217</v>
      </c>
      <c r="B92" s="3" t="s">
        <v>9</v>
      </c>
      <c r="C92" s="3" t="s">
        <v>228</v>
      </c>
      <c r="D92" s="3" t="s">
        <v>229</v>
      </c>
      <c r="E92" s="3">
        <v>1</v>
      </c>
      <c r="F92" s="3" t="s">
        <v>15</v>
      </c>
      <c r="G92" s="3" t="s">
        <v>14</v>
      </c>
      <c r="H92" s="3" t="s">
        <v>25</v>
      </c>
      <c r="I92" s="6" t="s">
        <v>293</v>
      </c>
      <c r="J92" s="3" t="s">
        <v>224</v>
      </c>
      <c r="K92" s="3" t="s">
        <v>115</v>
      </c>
      <c r="L92">
        <v>1</v>
      </c>
    </row>
    <row r="93" spans="1:12" x14ac:dyDescent="0.2">
      <c r="A93" s="3" t="s">
        <v>217</v>
      </c>
      <c r="B93" s="3" t="s">
        <v>9</v>
      </c>
      <c r="C93" s="3" t="s">
        <v>227</v>
      </c>
      <c r="D93" s="3" t="s">
        <v>229</v>
      </c>
      <c r="E93" s="3">
        <v>1</v>
      </c>
      <c r="F93" s="3" t="s">
        <v>15</v>
      </c>
      <c r="G93" s="3" t="s">
        <v>14</v>
      </c>
      <c r="H93" s="3" t="s">
        <v>25</v>
      </c>
      <c r="I93" s="6" t="s">
        <v>293</v>
      </c>
      <c r="J93" s="3" t="s">
        <v>218</v>
      </c>
      <c r="K93" s="3" t="s">
        <v>115</v>
      </c>
      <c r="L93">
        <v>1</v>
      </c>
    </row>
    <row r="94" spans="1:12" x14ac:dyDescent="0.2">
      <c r="A94" s="3" t="s">
        <v>217</v>
      </c>
      <c r="B94" s="3" t="s">
        <v>17</v>
      </c>
      <c r="C94" s="3" t="s">
        <v>223</v>
      </c>
      <c r="D94" s="3" t="s">
        <v>222</v>
      </c>
      <c r="E94" s="3">
        <v>1</v>
      </c>
      <c r="F94" s="3" t="s">
        <v>15</v>
      </c>
      <c r="G94" s="3" t="s">
        <v>14</v>
      </c>
      <c r="H94" s="3" t="s">
        <v>34</v>
      </c>
      <c r="I94" s="6" t="s">
        <v>293</v>
      </c>
      <c r="J94" s="3" t="s">
        <v>225</v>
      </c>
      <c r="K94" s="7" t="s">
        <v>33</v>
      </c>
      <c r="L94">
        <v>1</v>
      </c>
    </row>
    <row r="95" spans="1:12" x14ac:dyDescent="0.2">
      <c r="A95" s="3" t="s">
        <v>217</v>
      </c>
      <c r="B95" s="3" t="s">
        <v>17</v>
      </c>
      <c r="C95" s="3" t="s">
        <v>221</v>
      </c>
      <c r="D95" s="3" t="s">
        <v>222</v>
      </c>
      <c r="E95" s="3">
        <v>1</v>
      </c>
      <c r="F95" s="3" t="s">
        <v>15</v>
      </c>
      <c r="G95" s="3" t="s">
        <v>14</v>
      </c>
      <c r="H95" s="3" t="s">
        <v>34</v>
      </c>
      <c r="I95" s="6" t="s">
        <v>293</v>
      </c>
      <c r="J95" s="3" t="s">
        <v>218</v>
      </c>
      <c r="K95" s="7" t="s">
        <v>33</v>
      </c>
      <c r="L95">
        <v>1</v>
      </c>
    </row>
    <row r="96" spans="1:12" x14ac:dyDescent="0.2">
      <c r="A96" s="3" t="s">
        <v>217</v>
      </c>
      <c r="B96" s="3" t="s">
        <v>3</v>
      </c>
      <c r="C96" s="3" t="s">
        <v>226</v>
      </c>
      <c r="D96" s="3" t="s">
        <v>220</v>
      </c>
      <c r="E96" s="3">
        <v>1</v>
      </c>
      <c r="F96" s="3" t="s">
        <v>15</v>
      </c>
      <c r="G96" s="3" t="s">
        <v>14</v>
      </c>
      <c r="H96" s="3" t="s">
        <v>34</v>
      </c>
      <c r="I96" s="6" t="s">
        <v>293</v>
      </c>
      <c r="J96" s="3" t="s">
        <v>224</v>
      </c>
      <c r="K96" s="7" t="s">
        <v>37</v>
      </c>
      <c r="L96">
        <v>1</v>
      </c>
    </row>
    <row r="97" spans="1:12" x14ac:dyDescent="0.2">
      <c r="A97" s="3" t="s">
        <v>217</v>
      </c>
      <c r="B97" s="3" t="s">
        <v>3</v>
      </c>
      <c r="C97" s="3" t="s">
        <v>219</v>
      </c>
      <c r="D97" s="3" t="s">
        <v>220</v>
      </c>
      <c r="E97" s="3">
        <v>1</v>
      </c>
      <c r="F97" s="3" t="s">
        <v>15</v>
      </c>
      <c r="G97" s="3" t="s">
        <v>14</v>
      </c>
      <c r="H97" s="3" t="s">
        <v>34</v>
      </c>
      <c r="I97" s="6" t="s">
        <v>293</v>
      </c>
      <c r="J97" s="3" t="s">
        <v>218</v>
      </c>
      <c r="K97" s="7" t="s">
        <v>37</v>
      </c>
      <c r="L97">
        <v>1</v>
      </c>
    </row>
    <row r="98" spans="1:12" x14ac:dyDescent="0.2">
      <c r="A98" s="3" t="s">
        <v>45</v>
      </c>
      <c r="B98" s="3" t="s">
        <v>9</v>
      </c>
      <c r="C98" s="3" t="s">
        <v>44</v>
      </c>
      <c r="D98" s="3" t="s">
        <v>43</v>
      </c>
      <c r="E98" s="3">
        <v>1</v>
      </c>
      <c r="F98" s="3" t="s">
        <v>15</v>
      </c>
      <c r="G98" s="3" t="s">
        <v>14</v>
      </c>
      <c r="H98" s="3" t="s">
        <v>25</v>
      </c>
      <c r="I98" s="6" t="s">
        <v>293</v>
      </c>
      <c r="J98" s="3" t="s">
        <v>42</v>
      </c>
      <c r="K98" s="7" t="s">
        <v>41</v>
      </c>
      <c r="L98">
        <v>1</v>
      </c>
    </row>
    <row r="99" spans="1:12" x14ac:dyDescent="0.2">
      <c r="A99" s="3" t="s">
        <v>45</v>
      </c>
      <c r="B99" s="3" t="s">
        <v>17</v>
      </c>
      <c r="C99" s="3" t="s">
        <v>65</v>
      </c>
      <c r="D99" s="3" t="s">
        <v>51</v>
      </c>
      <c r="E99" s="3">
        <v>1</v>
      </c>
      <c r="F99" s="3" t="s">
        <v>18</v>
      </c>
      <c r="G99" s="3" t="s">
        <v>14</v>
      </c>
      <c r="H99" s="3" t="s">
        <v>48</v>
      </c>
      <c r="I99" s="12" t="s">
        <v>306</v>
      </c>
      <c r="J99" s="3" t="s">
        <v>47</v>
      </c>
      <c r="K99" s="3" t="s">
        <v>63</v>
      </c>
      <c r="L99">
        <v>9.9999999999999995E-7</v>
      </c>
    </row>
    <row r="100" spans="1:12" x14ac:dyDescent="0.2">
      <c r="A100" s="3" t="s">
        <v>45</v>
      </c>
      <c r="B100" s="3" t="s">
        <v>17</v>
      </c>
      <c r="C100" s="3" t="s">
        <v>62</v>
      </c>
      <c r="D100" s="3" t="s">
        <v>51</v>
      </c>
      <c r="E100" s="3">
        <v>1</v>
      </c>
      <c r="F100" s="3" t="s">
        <v>18</v>
      </c>
      <c r="G100" s="3" t="s">
        <v>14</v>
      </c>
      <c r="H100" s="3" t="s">
        <v>48</v>
      </c>
      <c r="I100" s="12" t="s">
        <v>306</v>
      </c>
      <c r="J100" s="3" t="s">
        <v>60</v>
      </c>
      <c r="K100" s="7" t="s">
        <v>59</v>
      </c>
      <c r="L100">
        <v>9.9999999999999995E-7</v>
      </c>
    </row>
    <row r="101" spans="1:12" x14ac:dyDescent="0.2">
      <c r="A101" s="3" t="s">
        <v>45</v>
      </c>
      <c r="B101" s="3" t="s">
        <v>17</v>
      </c>
      <c r="C101" s="3" t="s">
        <v>52</v>
      </c>
      <c r="D101" s="3" t="s">
        <v>51</v>
      </c>
      <c r="E101" s="3">
        <v>1</v>
      </c>
      <c r="F101" s="3" t="s">
        <v>18</v>
      </c>
      <c r="G101" s="3" t="s">
        <v>14</v>
      </c>
      <c r="H101" s="3" t="s">
        <v>48</v>
      </c>
      <c r="I101" s="12" t="s">
        <v>306</v>
      </c>
      <c r="J101" s="3" t="s">
        <v>47</v>
      </c>
      <c r="K101" s="7" t="s">
        <v>46</v>
      </c>
      <c r="L101">
        <v>9.9999999999999995E-7</v>
      </c>
    </row>
    <row r="102" spans="1:12" x14ac:dyDescent="0.2">
      <c r="A102" s="3" t="s">
        <v>45</v>
      </c>
      <c r="B102" s="3" t="s">
        <v>17</v>
      </c>
      <c r="C102" s="3" t="s">
        <v>58</v>
      </c>
      <c r="D102" s="3" t="s">
        <v>51</v>
      </c>
      <c r="E102" s="3">
        <v>1</v>
      </c>
      <c r="F102" s="3" t="s">
        <v>18</v>
      </c>
      <c r="G102" s="3" t="s">
        <v>14</v>
      </c>
      <c r="H102" s="3" t="s">
        <v>48</v>
      </c>
      <c r="I102" s="12" t="s">
        <v>306</v>
      </c>
      <c r="J102" s="3" t="s">
        <v>55</v>
      </c>
      <c r="K102" s="7" t="s">
        <v>54</v>
      </c>
      <c r="L102">
        <v>9.9999999999999995E-7</v>
      </c>
    </row>
    <row r="103" spans="1:12" x14ac:dyDescent="0.2">
      <c r="A103" s="3" t="s">
        <v>45</v>
      </c>
      <c r="B103" s="3" t="s">
        <v>17</v>
      </c>
      <c r="C103" s="3" t="s">
        <v>70</v>
      </c>
      <c r="D103" s="3" t="s">
        <v>51</v>
      </c>
      <c r="E103" s="3">
        <v>1</v>
      </c>
      <c r="F103" s="3" t="s">
        <v>18</v>
      </c>
      <c r="G103" s="3" t="s">
        <v>14</v>
      </c>
      <c r="H103" s="3" t="s">
        <v>48</v>
      </c>
      <c r="I103" s="12" t="s">
        <v>306</v>
      </c>
      <c r="J103" s="3" t="s">
        <v>55</v>
      </c>
      <c r="K103" s="7" t="s">
        <v>67</v>
      </c>
      <c r="L103">
        <v>9.9999999999999995E-7</v>
      </c>
    </row>
    <row r="104" spans="1:12" x14ac:dyDescent="0.2">
      <c r="A104" s="3" t="s">
        <v>45</v>
      </c>
      <c r="B104" s="3" t="s">
        <v>17</v>
      </c>
      <c r="C104" s="3" t="s">
        <v>72</v>
      </c>
      <c r="D104" s="3" t="s">
        <v>51</v>
      </c>
      <c r="E104" s="3">
        <v>1</v>
      </c>
      <c r="F104" s="3" t="s">
        <v>18</v>
      </c>
      <c r="G104" s="3" t="s">
        <v>14</v>
      </c>
      <c r="H104" s="3" t="s">
        <v>48</v>
      </c>
      <c r="I104" s="12" t="s">
        <v>306</v>
      </c>
      <c r="J104" s="3" t="s">
        <v>47</v>
      </c>
      <c r="K104" s="3" t="s">
        <v>71</v>
      </c>
      <c r="L104">
        <v>9.9999999999999995E-7</v>
      </c>
    </row>
    <row r="105" spans="1:12" x14ac:dyDescent="0.2">
      <c r="A105" s="3" t="s">
        <v>45</v>
      </c>
      <c r="B105" s="3" t="s">
        <v>3</v>
      </c>
      <c r="C105" s="3" t="s">
        <v>64</v>
      </c>
      <c r="D105" s="3" t="s">
        <v>49</v>
      </c>
      <c r="E105" s="3">
        <v>1</v>
      </c>
      <c r="F105" s="3" t="s">
        <v>18</v>
      </c>
      <c r="G105" s="3" t="s">
        <v>14</v>
      </c>
      <c r="H105" s="3" t="s">
        <v>48</v>
      </c>
      <c r="I105" s="12" t="s">
        <v>307</v>
      </c>
      <c r="J105" s="3" t="s">
        <v>47</v>
      </c>
      <c r="K105" s="3" t="s">
        <v>63</v>
      </c>
      <c r="L105">
        <v>9.9999999999999995E-7</v>
      </c>
    </row>
    <row r="106" spans="1:12" x14ac:dyDescent="0.2">
      <c r="A106" s="3" t="s">
        <v>45</v>
      </c>
      <c r="B106" s="3" t="s">
        <v>3</v>
      </c>
      <c r="C106" s="3" t="s">
        <v>61</v>
      </c>
      <c r="D106" s="3" t="s">
        <v>49</v>
      </c>
      <c r="E106" s="3">
        <v>1</v>
      </c>
      <c r="F106" s="3" t="s">
        <v>18</v>
      </c>
      <c r="G106" s="3" t="s">
        <v>14</v>
      </c>
      <c r="H106" s="3" t="s">
        <v>48</v>
      </c>
      <c r="I106" s="12" t="s">
        <v>306</v>
      </c>
      <c r="J106" s="3" t="s">
        <v>60</v>
      </c>
      <c r="K106" s="7" t="s">
        <v>59</v>
      </c>
      <c r="L106">
        <v>9.9999999999999995E-7</v>
      </c>
    </row>
    <row r="107" spans="1:12" x14ac:dyDescent="0.2">
      <c r="A107" s="3" t="s">
        <v>45</v>
      </c>
      <c r="B107" s="3" t="s">
        <v>3</v>
      </c>
      <c r="C107" s="3" t="s">
        <v>50</v>
      </c>
      <c r="D107" s="3" t="s">
        <v>49</v>
      </c>
      <c r="E107" s="3">
        <v>1</v>
      </c>
      <c r="F107" s="3" t="s">
        <v>18</v>
      </c>
      <c r="G107" s="3" t="s">
        <v>14</v>
      </c>
      <c r="H107" s="3" t="s">
        <v>48</v>
      </c>
      <c r="I107" s="12" t="s">
        <v>307</v>
      </c>
      <c r="J107" s="3" t="s">
        <v>47</v>
      </c>
      <c r="K107" s="7" t="s">
        <v>46</v>
      </c>
      <c r="L107">
        <v>9.9999999999999995E-7</v>
      </c>
    </row>
    <row r="108" spans="1:12" x14ac:dyDescent="0.2">
      <c r="A108" s="3" t="s">
        <v>45</v>
      </c>
      <c r="B108" s="3" t="s">
        <v>3</v>
      </c>
      <c r="C108" s="3" t="s">
        <v>56</v>
      </c>
      <c r="D108" s="3" t="s">
        <v>49</v>
      </c>
      <c r="E108" s="3">
        <v>1</v>
      </c>
      <c r="F108" s="3" t="s">
        <v>18</v>
      </c>
      <c r="G108" s="3" t="s">
        <v>14</v>
      </c>
      <c r="H108" s="3" t="s">
        <v>48</v>
      </c>
      <c r="I108" s="12" t="s">
        <v>307</v>
      </c>
      <c r="J108" s="3" t="s">
        <v>55</v>
      </c>
      <c r="K108" s="7" t="s">
        <v>54</v>
      </c>
      <c r="L108">
        <v>9.9999999999999995E-7</v>
      </c>
    </row>
    <row r="109" spans="1:12" x14ac:dyDescent="0.2">
      <c r="A109" s="3" t="s">
        <v>45</v>
      </c>
      <c r="B109" s="3" t="s">
        <v>3</v>
      </c>
      <c r="C109" s="3" t="s">
        <v>68</v>
      </c>
      <c r="D109" s="3" t="s">
        <v>49</v>
      </c>
      <c r="E109" s="3">
        <v>1</v>
      </c>
      <c r="F109" s="3" t="s">
        <v>18</v>
      </c>
      <c r="G109" s="3" t="s">
        <v>14</v>
      </c>
      <c r="H109" s="3" t="s">
        <v>48</v>
      </c>
      <c r="I109" s="12" t="s">
        <v>307</v>
      </c>
      <c r="J109" s="3" t="s">
        <v>55</v>
      </c>
      <c r="K109" s="7" t="s">
        <v>67</v>
      </c>
      <c r="L109">
        <v>9.9999999999999995E-7</v>
      </c>
    </row>
    <row r="110" spans="1:12" x14ac:dyDescent="0.2">
      <c r="A110" s="3" t="s">
        <v>45</v>
      </c>
      <c r="B110" s="3" t="s">
        <v>3</v>
      </c>
      <c r="C110" s="3" t="s">
        <v>73</v>
      </c>
      <c r="D110" s="3" t="s">
        <v>49</v>
      </c>
      <c r="E110" s="3">
        <v>1</v>
      </c>
      <c r="F110" s="3" t="s">
        <v>18</v>
      </c>
      <c r="G110" s="3" t="s">
        <v>14</v>
      </c>
      <c r="H110" s="3" t="s">
        <v>48</v>
      </c>
      <c r="I110" s="12" t="s">
        <v>307</v>
      </c>
      <c r="J110" s="3" t="s">
        <v>47</v>
      </c>
      <c r="K110" s="3" t="s">
        <v>71</v>
      </c>
      <c r="L110">
        <v>9.9999999999999995E-7</v>
      </c>
    </row>
    <row r="111" spans="1:12" x14ac:dyDescent="0.2">
      <c r="A111" s="3" t="s">
        <v>286</v>
      </c>
      <c r="B111" s="3" t="s">
        <v>17</v>
      </c>
      <c r="C111" s="3" t="s">
        <v>284</v>
      </c>
      <c r="D111" s="3" t="s">
        <v>285</v>
      </c>
      <c r="E111" s="3">
        <v>1</v>
      </c>
      <c r="F111" s="3" t="s">
        <v>15</v>
      </c>
      <c r="G111" s="3" t="s">
        <v>14</v>
      </c>
      <c r="H111" s="3" t="s">
        <v>289</v>
      </c>
      <c r="I111" s="3" t="s">
        <v>298</v>
      </c>
      <c r="J111" s="3" t="s">
        <v>308</v>
      </c>
      <c r="K111" s="9"/>
      <c r="L111">
        <v>1</v>
      </c>
    </row>
    <row r="112" spans="1:12" x14ac:dyDescent="0.2">
      <c r="A112" s="3" t="s">
        <v>286</v>
      </c>
      <c r="B112" s="3" t="s">
        <v>3</v>
      </c>
      <c r="C112" s="3" t="s">
        <v>288</v>
      </c>
      <c r="D112" s="3" t="s">
        <v>287</v>
      </c>
      <c r="E112" s="3">
        <v>1</v>
      </c>
      <c r="F112" s="3" t="s">
        <v>15</v>
      </c>
      <c r="G112" s="3" t="s">
        <v>14</v>
      </c>
      <c r="H112" s="3" t="s">
        <v>289</v>
      </c>
      <c r="I112" s="3" t="s">
        <v>298</v>
      </c>
      <c r="J112" s="3" t="s">
        <v>309</v>
      </c>
      <c r="K112" s="9"/>
      <c r="L1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A899-B1BE-954D-86F1-035A636627C9}">
  <dimension ref="A1:AT102"/>
  <sheetViews>
    <sheetView tabSelected="1" workbookViewId="0">
      <pane xSplit="3" topLeftCell="D1" activePane="topRight" state="frozen"/>
      <selection pane="topRight" activeCell="D24" sqref="D24"/>
    </sheetView>
  </sheetViews>
  <sheetFormatPr baseColWidth="10" defaultRowHeight="16" x14ac:dyDescent="0.2"/>
  <cols>
    <col min="1" max="1" width="34.33203125" bestFit="1" customWidth="1"/>
    <col min="2" max="2" width="14.83203125" customWidth="1"/>
    <col min="4" max="4" width="92.1640625" customWidth="1"/>
    <col min="10" max="10" width="35.1640625" customWidth="1"/>
  </cols>
  <sheetData>
    <row r="1" spans="1:46" x14ac:dyDescent="0.2">
      <c r="A1" t="s">
        <v>326</v>
      </c>
      <c r="B1" t="s">
        <v>327</v>
      </c>
      <c r="C1" t="s">
        <v>84</v>
      </c>
      <c r="D1" t="s">
        <v>83</v>
      </c>
      <c r="E1" t="s">
        <v>82</v>
      </c>
      <c r="F1" t="s">
        <v>81</v>
      </c>
      <c r="G1" t="s">
        <v>80</v>
      </c>
      <c r="H1" t="s">
        <v>79</v>
      </c>
      <c r="I1" t="s">
        <v>78</v>
      </c>
      <c r="J1" t="s">
        <v>77</v>
      </c>
      <c r="K1" t="s">
        <v>76</v>
      </c>
      <c r="L1" t="s">
        <v>75</v>
      </c>
      <c r="M1" t="s">
        <v>74</v>
      </c>
      <c r="N1" t="s">
        <v>258</v>
      </c>
      <c r="O1">
        <v>1990</v>
      </c>
      <c r="P1">
        <v>1991</v>
      </c>
      <c r="Q1">
        <v>1992</v>
      </c>
      <c r="R1">
        <v>1993</v>
      </c>
      <c r="S1">
        <v>1994</v>
      </c>
      <c r="T1">
        <v>1995</v>
      </c>
      <c r="U1">
        <v>1996</v>
      </c>
      <c r="V1">
        <v>1997</v>
      </c>
      <c r="W1">
        <v>1998</v>
      </c>
      <c r="X1">
        <v>1999</v>
      </c>
      <c r="Y1">
        <v>2000</v>
      </c>
      <c r="Z1">
        <v>2001</v>
      </c>
      <c r="AA1">
        <v>2002</v>
      </c>
      <c r="AB1">
        <v>2003</v>
      </c>
      <c r="AC1">
        <v>2004</v>
      </c>
      <c r="AD1">
        <v>2005</v>
      </c>
      <c r="AE1">
        <v>2006</v>
      </c>
      <c r="AF1">
        <v>2007</v>
      </c>
      <c r="AG1">
        <v>2008</v>
      </c>
      <c r="AH1">
        <v>2009</v>
      </c>
      <c r="AI1">
        <v>2010</v>
      </c>
      <c r="AJ1">
        <v>2011</v>
      </c>
      <c r="AK1">
        <v>2012</v>
      </c>
      <c r="AL1">
        <v>2013</v>
      </c>
      <c r="AM1">
        <v>2014</v>
      </c>
      <c r="AN1">
        <v>2015</v>
      </c>
      <c r="AO1">
        <v>2016</v>
      </c>
      <c r="AP1">
        <v>2017</v>
      </c>
      <c r="AQ1">
        <v>2018</v>
      </c>
      <c r="AR1">
        <v>2019</v>
      </c>
      <c r="AS1">
        <v>2020</v>
      </c>
      <c r="AT1">
        <v>2021</v>
      </c>
    </row>
    <row r="2" spans="1:46" x14ac:dyDescent="0.2">
      <c r="A2" s="3" t="s">
        <v>171</v>
      </c>
      <c r="B2" t="s">
        <v>328</v>
      </c>
      <c r="C2" s="3" t="s">
        <v>17</v>
      </c>
      <c r="D2" s="3" t="s">
        <v>180</v>
      </c>
      <c r="E2" s="3" t="s">
        <v>187</v>
      </c>
      <c r="F2" s="3">
        <v>1</v>
      </c>
      <c r="G2" s="3" t="s">
        <v>15</v>
      </c>
      <c r="H2" s="3" t="s">
        <v>17</v>
      </c>
      <c r="I2" s="3" t="s">
        <v>171</v>
      </c>
      <c r="J2" s="5" t="s">
        <v>291</v>
      </c>
      <c r="K2" s="5" t="s">
        <v>179</v>
      </c>
      <c r="L2" s="5" t="s">
        <v>177</v>
      </c>
      <c r="M2" s="4">
        <v>35</v>
      </c>
      <c r="O2">
        <f>+sum_sheet!N2*'Equivalence Factor'!$L2</f>
        <v>3.0056415486307837</v>
      </c>
      <c r="P2">
        <f>+sum_sheet!O2*'Equivalence Factor'!$L2</f>
        <v>2.8126186968838525</v>
      </c>
      <c r="Q2">
        <f>+sum_sheet!P2*'Equivalence Factor'!$L2</f>
        <v>3.4192619452313497</v>
      </c>
      <c r="R2">
        <f>+sum_sheet!Q2*'Equivalence Factor'!$L2</f>
        <v>2.9229174693106699</v>
      </c>
      <c r="S2">
        <f>+sum_sheet!R2*'Equivalence Factor'!$L2</f>
        <v>3.4192619452313497</v>
      </c>
      <c r="T2">
        <f>+sum_sheet!S2*'Equivalence Factor'!$L2</f>
        <v>3.143515014164306</v>
      </c>
      <c r="U2">
        <f>+sum_sheet!T2*'Equivalence Factor'!$L2</f>
        <v>2.939462285174693</v>
      </c>
      <c r="V2">
        <f>+sum_sheet!U2*'Equivalence Factor'!$L2</f>
        <v>3.2152092162417376</v>
      </c>
      <c r="W2">
        <f>+sum_sheet!V2*'Equivalence Factor'!$L2</f>
        <v>3.4192619452313497</v>
      </c>
      <c r="X2">
        <f>+sum_sheet!W2*'Equivalence Factor'!$L2</f>
        <v>3.3972021907459866</v>
      </c>
      <c r="Y2">
        <f>+sum_sheet!X2*'Equivalence Factor'!$L2</f>
        <v>2.6471705382436257</v>
      </c>
      <c r="Z2">
        <f>+sum_sheet!Y2*'Equivalence Factor'!$L2</f>
        <v>3.011156487252125</v>
      </c>
      <c r="AA2">
        <f>+sum_sheet!Z2*'Equivalence Factor'!$L2</f>
        <v>2.9504921624173743</v>
      </c>
      <c r="AB2">
        <f>+sum_sheet!AA2*'Equivalence Factor'!$L2</f>
        <v>2.4817223796033989</v>
      </c>
      <c r="AC2">
        <f>+sum_sheet!AB2*'Equivalence Factor'!$L2</f>
        <v>2.939462285174693</v>
      </c>
      <c r="AD2">
        <f>+sum_sheet!AC2*'Equivalence Factor'!$L2</f>
        <v>2.8953427762039663</v>
      </c>
      <c r="AE2">
        <f>+sum_sheet!AD2*'Equivalence Factor'!$L2</f>
        <v>1.9026538243626061</v>
      </c>
      <c r="AF2">
        <f>+sum_sheet!AE2*'Equivalence Factor'!$L2</f>
        <v>2.0846467988668556</v>
      </c>
      <c r="AG2">
        <f>+sum_sheet!AF2*'Equivalence Factor'!$L2</f>
        <v>2.5589315203021714</v>
      </c>
      <c r="AH2">
        <f>+sum_sheet!AG2*'Equivalence Factor'!$L2</f>
        <v>2.5589315203021714</v>
      </c>
      <c r="AI2">
        <f>+sum_sheet!AH2*'Equivalence Factor'!$L2</f>
        <v>2.9504921624173743</v>
      </c>
      <c r="AJ2">
        <f>+sum_sheet!AI2*'Equivalence Factor'!$L2</f>
        <v>2.3052443437204908</v>
      </c>
      <c r="AK2">
        <f>+sum_sheet!AJ2*'Equivalence Factor'!$L2</f>
        <v>2.1894306326723321</v>
      </c>
      <c r="AL2">
        <f>+sum_sheet!AK2*'Equivalence Factor'!$L2</f>
        <v>2.2776696506137863</v>
      </c>
      <c r="AM2">
        <f>+sum_sheet!AL2*'Equivalence Factor'!$L2</f>
        <v>2.5479016430594901</v>
      </c>
      <c r="AN2">
        <f>+sum_sheet!AM2*'Equivalence Factor'!$L2</f>
        <v>2.2886995278564681</v>
      </c>
      <c r="AO2">
        <f>+sum_sheet!AN2*'Equivalence Factor'!$L2</f>
        <v>2.3603937299338997</v>
      </c>
      <c r="AP2">
        <f>+sum_sheet!AO2*'Equivalence Factor'!$L2</f>
        <v>2.1784007554296503</v>
      </c>
      <c r="AQ2">
        <f>+sum_sheet!AP2*'Equivalence Factor'!$L2</f>
        <v>2.4045132389046264</v>
      </c>
      <c r="AR2">
        <f>+sum_sheet!AQ2*'Equivalence Factor'!$L2</f>
        <v>1.4563849911237012</v>
      </c>
      <c r="AS2">
        <f>+sum_sheet!AR2*'Equivalence Factor'!$L2</f>
        <v>2.6085659678942399</v>
      </c>
      <c r="AT2">
        <f>+sum_sheet!AS2*'Equivalence Factor'!$L2</f>
        <v>2.2776696506137863</v>
      </c>
    </row>
    <row r="3" spans="1:46" x14ac:dyDescent="0.2">
      <c r="A3" s="3" t="s">
        <v>171</v>
      </c>
      <c r="B3" t="s">
        <v>328</v>
      </c>
      <c r="C3" s="3" t="s">
        <v>17</v>
      </c>
      <c r="D3" s="3" t="s">
        <v>182</v>
      </c>
      <c r="E3" s="3" t="s">
        <v>181</v>
      </c>
      <c r="F3" s="3">
        <v>1</v>
      </c>
      <c r="G3" s="3" t="s">
        <v>15</v>
      </c>
      <c r="H3" s="3" t="s">
        <v>17</v>
      </c>
      <c r="I3" s="3" t="s">
        <v>171</v>
      </c>
      <c r="J3" s="5" t="s">
        <v>291</v>
      </c>
      <c r="K3" s="5" t="s">
        <v>179</v>
      </c>
      <c r="L3" s="5" t="s">
        <v>178</v>
      </c>
      <c r="M3" s="4">
        <v>36</v>
      </c>
      <c r="O3">
        <f>+sum_sheet!N3*'Equivalence Factor'!$L3</f>
        <v>4.3555413833220494E-2</v>
      </c>
      <c r="P3">
        <f>+sum_sheet!O3*'Equivalence Factor'!$L3</f>
        <v>5.8282723735449835E-2</v>
      </c>
      <c r="Q3">
        <f>+sum_sheet!P3*'Equivalence Factor'!$L3</f>
        <v>6.7383842401559965E-2</v>
      </c>
      <c r="R3">
        <f>+sum_sheet!Q3*'Equivalence Factor'!$L3</f>
        <v>6.6880951084469786E-2</v>
      </c>
      <c r="S3">
        <f>+sum_sheet!R3*'Equivalence Factor'!$L3</f>
        <v>7.0056813594697162E-2</v>
      </c>
      <c r="T3">
        <f>+sum_sheet!S3*'Equivalence Factor'!$L3</f>
        <v>7.6948845736352731E-2</v>
      </c>
      <c r="U3">
        <f>+sum_sheet!T3*'Equivalence Factor'!$L3</f>
        <v>7.8818948682141857E-2</v>
      </c>
      <c r="V3">
        <f>+sum_sheet!U3*'Equivalence Factor'!$L3</f>
        <v>8.7264180298268379E-2</v>
      </c>
      <c r="W3">
        <f>+sum_sheet!V3*'Equivalence Factor'!$L3</f>
        <v>9.6947070158855703E-2</v>
      </c>
      <c r="X3">
        <f>+sum_sheet!W3*'Equivalence Factor'!$L3</f>
        <v>0.11405816236168884</v>
      </c>
      <c r="Y3">
        <f>+sum_sheet!X3*'Equivalence Factor'!$L3</f>
        <v>0.11310427905880573</v>
      </c>
      <c r="Z3">
        <f>+sum_sheet!Y3*'Equivalence Factor'!$L3</f>
        <v>0.10908427205194821</v>
      </c>
      <c r="AA3">
        <f>+sum_sheet!Z3*'Equivalence Factor'!$L3</f>
        <v>0.10693424281976328</v>
      </c>
      <c r="AB3">
        <f>+sum_sheet!AA3*'Equivalence Factor'!$L3</f>
        <v>9.7152325695163855E-2</v>
      </c>
      <c r="AC3">
        <f>+sum_sheet!AB3*'Equivalence Factor'!$L3</f>
        <v>8.3197360243557825E-2</v>
      </c>
      <c r="AD3">
        <f>+sum_sheet!AC3*'Equivalence Factor'!$L3</f>
        <v>8.0300444897836165E-2</v>
      </c>
      <c r="AE3">
        <f>+sum_sheet!AD3*'Equivalence Factor'!$L3</f>
        <v>8.9592226459346738E-2</v>
      </c>
      <c r="AF3">
        <f>+sum_sheet!AE3*'Equivalence Factor'!$L3</f>
        <v>9.9637226608460042E-2</v>
      </c>
      <c r="AG3">
        <f>+sum_sheet!AF3*'Equivalence Factor'!$L3</f>
        <v>9.378733503780351E-2</v>
      </c>
      <c r="AH3">
        <f>+sum_sheet!AG3*'Equivalence Factor'!$L3</f>
        <v>0.10498936612977244</v>
      </c>
      <c r="AI3">
        <f>+sum_sheet!AH3*'Equivalence Factor'!$L3</f>
        <v>8.8917140978979764E-2</v>
      </c>
      <c r="AJ3">
        <f>+sum_sheet!AI3*'Equivalence Factor'!$L3</f>
        <v>8.9944774309133904E-2</v>
      </c>
      <c r="AK3">
        <f>+sum_sheet!AJ3*'Equivalence Factor'!$L3</f>
        <v>0.10968792991951297</v>
      </c>
      <c r="AL3">
        <f>+sum_sheet!AK3*'Equivalence Factor'!$L3</f>
        <v>0.10589668681137822</v>
      </c>
      <c r="AM3">
        <f>+sum_sheet!AL3*'Equivalence Factor'!$L3</f>
        <v>9.3973961021732791E-2</v>
      </c>
      <c r="AN3">
        <f>+sum_sheet!AM3*'Equivalence Factor'!$L3</f>
        <v>9.1384869911809732E-2</v>
      </c>
      <c r="AO3">
        <f>+sum_sheet!AN3*'Equivalence Factor'!$L3</f>
        <v>9.2348474314070284E-2</v>
      </c>
      <c r="AP3">
        <f>+sum_sheet!AO3*'Equivalence Factor'!$L3</f>
        <v>0.10905286646803684</v>
      </c>
      <c r="AQ3">
        <f>+sum_sheet!AP3*'Equivalence Factor'!$L3</f>
        <v>0.11734641482839214</v>
      </c>
      <c r="AR3">
        <f>+sum_sheet!AQ3*'Equivalence Factor'!$L3</f>
        <v>9.5804895249250011E-2</v>
      </c>
      <c r="AS3">
        <f>+sum_sheet!AR3*'Equivalence Factor'!$L3</f>
        <v>0.11935445693616151</v>
      </c>
      <c r="AT3">
        <f>+sum_sheet!AS3*'Equivalence Factor'!$L3</f>
        <v>0.10730406879861228</v>
      </c>
    </row>
    <row r="4" spans="1:46" x14ac:dyDescent="0.2">
      <c r="A4" s="3" t="s">
        <v>171</v>
      </c>
      <c r="B4" t="s">
        <v>328</v>
      </c>
      <c r="C4" s="3" t="s">
        <v>3</v>
      </c>
      <c r="D4" s="3" t="s">
        <v>198</v>
      </c>
      <c r="E4" s="3" t="s">
        <v>197</v>
      </c>
      <c r="F4" s="3">
        <v>1</v>
      </c>
      <c r="G4" s="3" t="s">
        <v>15</v>
      </c>
      <c r="H4" s="3" t="s">
        <v>3</v>
      </c>
      <c r="I4" s="3" t="s">
        <v>171</v>
      </c>
      <c r="J4" s="5" t="s">
        <v>291</v>
      </c>
      <c r="K4" s="5" t="s">
        <v>194</v>
      </c>
      <c r="L4" s="5" t="s">
        <v>178</v>
      </c>
      <c r="M4" s="4">
        <v>40</v>
      </c>
      <c r="O4">
        <f>+sum_sheet!N4*'Equivalence Factor'!$L4</f>
        <v>7.141472782508697E-3</v>
      </c>
      <c r="P4">
        <f>+sum_sheet!O4*'Equivalence Factor'!$L4</f>
        <v>9.0019783202673377E-3</v>
      </c>
      <c r="Q4">
        <f>+sum_sheet!P4*'Equivalence Factor'!$L4</f>
        <v>1.0460429684018176E-2</v>
      </c>
      <c r="R4">
        <f>+sum_sheet!Q4*'Equivalence Factor'!$L4</f>
        <v>1.0225113442259324E-2</v>
      </c>
      <c r="S4">
        <f>+sum_sheet!R4*'Equivalence Factor'!$L4</f>
        <v>1.0746982991009584E-2</v>
      </c>
      <c r="T4">
        <f>+sum_sheet!S4*'Equivalence Factor'!$L4</f>
        <v>1.172591868813643E-2</v>
      </c>
      <c r="U4">
        <f>+sum_sheet!T4*'Equivalence Factor'!$L4</f>
        <v>1.2115060055523203E-2</v>
      </c>
      <c r="V4">
        <f>+sum_sheet!U4*'Equivalence Factor'!$L4</f>
        <v>1.3338148975045363E-2</v>
      </c>
      <c r="W4">
        <f>+sum_sheet!V4*'Equivalence Factor'!$L4</f>
        <v>1.4714400690645913E-2</v>
      </c>
      <c r="X4">
        <f>+sum_sheet!W4*'Equivalence Factor'!$L4</f>
        <v>1.7300675713752198E-2</v>
      </c>
      <c r="Y4">
        <f>+sum_sheet!X4*'Equivalence Factor'!$L4</f>
        <v>1.7230972692185452E-2</v>
      </c>
      <c r="Z4">
        <f>+sum_sheet!Y4*'Equivalence Factor'!$L4</f>
        <v>1.6629967254039868E-2</v>
      </c>
      <c r="AA4">
        <f>+sum_sheet!Z4*'Equivalence Factor'!$L4</f>
        <v>1.6337420035525525E-2</v>
      </c>
      <c r="AB4">
        <f>+sum_sheet!AA4*'Equivalence Factor'!$L4</f>
        <v>1.5158898960473557E-2</v>
      </c>
      <c r="AC4">
        <f>+sum_sheet!AB4*'Equivalence Factor'!$L4</f>
        <v>1.2535966084947989E-2</v>
      </c>
      <c r="AD4">
        <f>+sum_sheet!AC4*'Equivalence Factor'!$L4</f>
        <v>1.2303596049864857E-2</v>
      </c>
      <c r="AE4">
        <f>+sum_sheet!AD4*'Equivalence Factor'!$L4</f>
        <v>1.3560563881019068E-2</v>
      </c>
      <c r="AF4">
        <f>+sum_sheet!AE4*'Equivalence Factor'!$L4</f>
        <v>1.5282669726641019E-2</v>
      </c>
      <c r="AG4">
        <f>+sum_sheet!AF4*'Equivalence Factor'!$L4</f>
        <v>1.4793581921121663E-2</v>
      </c>
      <c r="AH4">
        <f>+sum_sheet!AG4*'Equivalence Factor'!$L4</f>
        <v>1.6120433972225883E-2</v>
      </c>
      <c r="AI4">
        <f>+sum_sheet!AH4*'Equivalence Factor'!$L4</f>
        <v>1.3670468074022722E-2</v>
      </c>
      <c r="AJ4">
        <f>+sum_sheet!AI4*'Equivalence Factor'!$L4</f>
        <v>1.4036780865771844E-2</v>
      </c>
      <c r="AK4">
        <f>+sum_sheet!AJ4*'Equivalence Factor'!$L4</f>
        <v>1.694757209903942E-2</v>
      </c>
      <c r="AL4">
        <f>+sum_sheet!AK4*'Equivalence Factor'!$L4</f>
        <v>1.6474648961565141E-2</v>
      </c>
      <c r="AM4">
        <f>+sum_sheet!AL4*'Equivalence Factor'!$L4</f>
        <v>1.4647784549767343E-2</v>
      </c>
      <c r="AN4">
        <f>+sum_sheet!AM4*'Equivalence Factor'!$L4</f>
        <v>1.3999002517663468E-2</v>
      </c>
      <c r="AO4">
        <f>+sum_sheet!AN4*'Equivalence Factor'!$L4</f>
        <v>1.4066103041779479E-2</v>
      </c>
      <c r="AP4">
        <f>+sum_sheet!AO4*'Equivalence Factor'!$L4</f>
        <v>1.6536270826268858E-2</v>
      </c>
      <c r="AQ4">
        <f>+sum_sheet!AP4*'Equivalence Factor'!$L4</f>
        <v>1.7776421738115177E-2</v>
      </c>
      <c r="AR4">
        <f>+sum_sheet!AQ4*'Equivalence Factor'!$L4</f>
        <v>1.4274890837634944E-2</v>
      </c>
      <c r="AS4">
        <f>+sum_sheet!AR4*'Equivalence Factor'!$L4</f>
        <v>1.8042132836154634E-2</v>
      </c>
      <c r="AT4">
        <f>+sum_sheet!AS4*'Equivalence Factor'!$L4</f>
        <v>1.6239825327045074E-2</v>
      </c>
    </row>
    <row r="5" spans="1:46" x14ac:dyDescent="0.2">
      <c r="A5" s="3" t="s">
        <v>171</v>
      </c>
      <c r="B5" t="s">
        <v>328</v>
      </c>
      <c r="C5" s="3" t="s">
        <v>9</v>
      </c>
      <c r="D5" s="3" t="s">
        <v>210</v>
      </c>
      <c r="E5" s="3" t="s">
        <v>211</v>
      </c>
      <c r="F5" s="3">
        <v>0</v>
      </c>
      <c r="G5" s="3" t="s">
        <v>0</v>
      </c>
      <c r="H5" s="3" t="s">
        <v>0</v>
      </c>
      <c r="I5" s="3" t="s">
        <v>0</v>
      </c>
      <c r="J5" s="3" t="s">
        <v>0</v>
      </c>
      <c r="K5" s="3" t="s">
        <v>0</v>
      </c>
      <c r="L5" s="3" t="s">
        <v>0</v>
      </c>
      <c r="M5" s="4">
        <v>-1</v>
      </c>
      <c r="O5">
        <f>+sum_sheet!N5*'Equivalence Factor'!$L5</f>
        <v>0</v>
      </c>
      <c r="P5">
        <f>+sum_sheet!O5*'Equivalence Factor'!$L5</f>
        <v>0</v>
      </c>
      <c r="Q5">
        <f>+sum_sheet!P5*'Equivalence Factor'!$L5</f>
        <v>0</v>
      </c>
      <c r="R5">
        <f>+sum_sheet!Q5*'Equivalence Factor'!$L5</f>
        <v>0</v>
      </c>
      <c r="S5">
        <f>+sum_sheet!R5*'Equivalence Factor'!$L5</f>
        <v>0</v>
      </c>
      <c r="T5">
        <f>+sum_sheet!S5*'Equivalence Factor'!$L5</f>
        <v>0</v>
      </c>
      <c r="U5">
        <f>+sum_sheet!T5*'Equivalence Factor'!$L5</f>
        <v>0</v>
      </c>
      <c r="V5">
        <f>+sum_sheet!U5*'Equivalence Factor'!$L5</f>
        <v>0</v>
      </c>
      <c r="W5">
        <f>+sum_sheet!V5*'Equivalence Factor'!$L5</f>
        <v>0</v>
      </c>
      <c r="X5">
        <f>+sum_sheet!W5*'Equivalence Factor'!$L5</f>
        <v>0</v>
      </c>
      <c r="Y5">
        <f>+sum_sheet!X5*'Equivalence Factor'!$L5</f>
        <v>0</v>
      </c>
      <c r="Z5">
        <f>+sum_sheet!Y5*'Equivalence Factor'!$L5</f>
        <v>0</v>
      </c>
      <c r="AA5">
        <f>+sum_sheet!Z5*'Equivalence Factor'!$L5</f>
        <v>0</v>
      </c>
      <c r="AB5">
        <f>+sum_sheet!AA5*'Equivalence Factor'!$L5</f>
        <v>0</v>
      </c>
      <c r="AC5">
        <f>+sum_sheet!AB5*'Equivalence Factor'!$L5</f>
        <v>0</v>
      </c>
      <c r="AD5">
        <f>+sum_sheet!AC5*'Equivalence Factor'!$L5</f>
        <v>0</v>
      </c>
      <c r="AE5">
        <f>+sum_sheet!AD5*'Equivalence Factor'!$L5</f>
        <v>0</v>
      </c>
      <c r="AF5">
        <f>+sum_sheet!AE5*'Equivalence Factor'!$L5</f>
        <v>0</v>
      </c>
      <c r="AG5">
        <f>+sum_sheet!AF5*'Equivalence Factor'!$L5</f>
        <v>0</v>
      </c>
      <c r="AH5">
        <f>+sum_sheet!AG5*'Equivalence Factor'!$L5</f>
        <v>0</v>
      </c>
      <c r="AI5">
        <f>+sum_sheet!AH5*'Equivalence Factor'!$L5</f>
        <v>0</v>
      </c>
      <c r="AJ5">
        <f>+sum_sheet!AI5*'Equivalence Factor'!$L5</f>
        <v>0</v>
      </c>
      <c r="AK5">
        <f>+sum_sheet!AJ5*'Equivalence Factor'!$L5</f>
        <v>0</v>
      </c>
      <c r="AL5">
        <f>+sum_sheet!AK5*'Equivalence Factor'!$L5</f>
        <v>0</v>
      </c>
      <c r="AM5">
        <f>+sum_sheet!AL5*'Equivalence Factor'!$L5</f>
        <v>0</v>
      </c>
      <c r="AN5">
        <f>+sum_sheet!AM5*'Equivalence Factor'!$L5</f>
        <v>0</v>
      </c>
      <c r="AO5">
        <f>+sum_sheet!AN5*'Equivalence Factor'!$L5</f>
        <v>0</v>
      </c>
      <c r="AP5">
        <f>+sum_sheet!AO5*'Equivalence Factor'!$L5</f>
        <v>0</v>
      </c>
      <c r="AQ5">
        <f>+sum_sheet!AP5*'Equivalence Factor'!$L5</f>
        <v>0</v>
      </c>
      <c r="AR5">
        <f>+sum_sheet!AQ5*'Equivalence Factor'!$L5</f>
        <v>0</v>
      </c>
      <c r="AS5">
        <f>+sum_sheet!AR5*'Equivalence Factor'!$L5</f>
        <v>0</v>
      </c>
      <c r="AT5">
        <f>+sum_sheet!AS5*'Equivalence Factor'!$L5</f>
        <v>0</v>
      </c>
    </row>
    <row r="6" spans="1:46" x14ac:dyDescent="0.2">
      <c r="A6" s="3" t="s">
        <v>171</v>
      </c>
      <c r="B6" t="s">
        <v>328</v>
      </c>
      <c r="C6" s="3" t="s">
        <v>9</v>
      </c>
      <c r="D6" s="3" t="s">
        <v>212</v>
      </c>
      <c r="E6" s="3" t="s">
        <v>211</v>
      </c>
      <c r="F6" s="3">
        <v>0</v>
      </c>
      <c r="G6" s="3" t="s">
        <v>0</v>
      </c>
      <c r="H6" s="3" t="s">
        <v>0</v>
      </c>
      <c r="I6" s="3" t="s">
        <v>0</v>
      </c>
      <c r="J6" s="3" t="s">
        <v>0</v>
      </c>
      <c r="K6" s="3" t="s">
        <v>0</v>
      </c>
      <c r="L6" s="3" t="s">
        <v>0</v>
      </c>
      <c r="M6" s="4">
        <v>-1</v>
      </c>
      <c r="O6">
        <f>+sum_sheet!N6*'Equivalence Factor'!$L6</f>
        <v>0</v>
      </c>
      <c r="P6">
        <f>+sum_sheet!O6*'Equivalence Factor'!$L6</f>
        <v>0</v>
      </c>
      <c r="Q6">
        <f>+sum_sheet!P6*'Equivalence Factor'!$L6</f>
        <v>0</v>
      </c>
      <c r="R6">
        <f>+sum_sheet!Q6*'Equivalence Factor'!$L6</f>
        <v>0</v>
      </c>
      <c r="S6">
        <f>+sum_sheet!R6*'Equivalence Factor'!$L6</f>
        <v>0</v>
      </c>
      <c r="T6">
        <f>+sum_sheet!S6*'Equivalence Factor'!$L6</f>
        <v>0</v>
      </c>
      <c r="U6">
        <f>+sum_sheet!T6*'Equivalence Factor'!$L6</f>
        <v>0</v>
      </c>
      <c r="V6">
        <f>+sum_sheet!U6*'Equivalence Factor'!$L6</f>
        <v>0</v>
      </c>
      <c r="W6">
        <f>+sum_sheet!V6*'Equivalence Factor'!$L6</f>
        <v>0</v>
      </c>
      <c r="X6">
        <f>+sum_sheet!W6*'Equivalence Factor'!$L6</f>
        <v>0</v>
      </c>
      <c r="Y6">
        <f>+sum_sheet!X6*'Equivalence Factor'!$L6</f>
        <v>0</v>
      </c>
      <c r="Z6">
        <f>+sum_sheet!Y6*'Equivalence Factor'!$L6</f>
        <v>0</v>
      </c>
      <c r="AA6">
        <f>+sum_sheet!Z6*'Equivalence Factor'!$L6</f>
        <v>0</v>
      </c>
      <c r="AB6">
        <f>+sum_sheet!AA6*'Equivalence Factor'!$L6</f>
        <v>0</v>
      </c>
      <c r="AC6">
        <f>+sum_sheet!AB6*'Equivalence Factor'!$L6</f>
        <v>0</v>
      </c>
      <c r="AD6">
        <f>+sum_sheet!AC6*'Equivalence Factor'!$L6</f>
        <v>0</v>
      </c>
      <c r="AE6">
        <f>+sum_sheet!AD6*'Equivalence Factor'!$L6</f>
        <v>0</v>
      </c>
      <c r="AF6">
        <f>+sum_sheet!AE6*'Equivalence Factor'!$L6</f>
        <v>0</v>
      </c>
      <c r="AG6">
        <f>+sum_sheet!AF6*'Equivalence Factor'!$L6</f>
        <v>0</v>
      </c>
      <c r="AH6">
        <f>+sum_sheet!AG6*'Equivalence Factor'!$L6</f>
        <v>0</v>
      </c>
      <c r="AI6">
        <f>+sum_sheet!AH6*'Equivalence Factor'!$L6</f>
        <v>0</v>
      </c>
      <c r="AJ6">
        <f>+sum_sheet!AI6*'Equivalence Factor'!$L6</f>
        <v>0</v>
      </c>
      <c r="AK6">
        <f>+sum_sheet!AJ6*'Equivalence Factor'!$L6</f>
        <v>0</v>
      </c>
      <c r="AL6">
        <f>+sum_sheet!AK6*'Equivalence Factor'!$L6</f>
        <v>0</v>
      </c>
      <c r="AM6">
        <f>+sum_sheet!AL6*'Equivalence Factor'!$L6</f>
        <v>0</v>
      </c>
      <c r="AN6">
        <f>+sum_sheet!AM6*'Equivalence Factor'!$L6</f>
        <v>0</v>
      </c>
      <c r="AO6">
        <f>+sum_sheet!AN6*'Equivalence Factor'!$L6</f>
        <v>0</v>
      </c>
      <c r="AP6">
        <f>+sum_sheet!AO6*'Equivalence Factor'!$L6</f>
        <v>0</v>
      </c>
      <c r="AQ6">
        <f>+sum_sheet!AP6*'Equivalence Factor'!$L6</f>
        <v>0</v>
      </c>
      <c r="AR6">
        <f>+sum_sheet!AQ6*'Equivalence Factor'!$L6</f>
        <v>0</v>
      </c>
      <c r="AS6">
        <f>+sum_sheet!AR6*'Equivalence Factor'!$L6</f>
        <v>0</v>
      </c>
      <c r="AT6">
        <f>+sum_sheet!AS6*'Equivalence Factor'!$L6</f>
        <v>0</v>
      </c>
    </row>
    <row r="7" spans="1:46" x14ac:dyDescent="0.2">
      <c r="A7" s="3" t="s">
        <v>171</v>
      </c>
      <c r="B7" t="s">
        <v>328</v>
      </c>
      <c r="C7" s="3" t="s">
        <v>9</v>
      </c>
      <c r="D7" s="3" t="s">
        <v>213</v>
      </c>
      <c r="E7" s="3" t="s">
        <v>211</v>
      </c>
      <c r="F7" s="3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4">
        <v>-1</v>
      </c>
      <c r="O7">
        <f>+sum_sheet!N7*'Equivalence Factor'!$L7</f>
        <v>0</v>
      </c>
      <c r="P7">
        <f>+sum_sheet!O7*'Equivalence Factor'!$L7</f>
        <v>0</v>
      </c>
      <c r="Q7">
        <f>+sum_sheet!P7*'Equivalence Factor'!$L7</f>
        <v>0</v>
      </c>
      <c r="R7">
        <f>+sum_sheet!Q7*'Equivalence Factor'!$L7</f>
        <v>0</v>
      </c>
      <c r="S7">
        <f>+sum_sheet!R7*'Equivalence Factor'!$L7</f>
        <v>0</v>
      </c>
      <c r="T7">
        <f>+sum_sheet!S7*'Equivalence Factor'!$L7</f>
        <v>0</v>
      </c>
      <c r="U7">
        <f>+sum_sheet!T7*'Equivalence Factor'!$L7</f>
        <v>0</v>
      </c>
      <c r="V7">
        <f>+sum_sheet!U7*'Equivalence Factor'!$L7</f>
        <v>0</v>
      </c>
      <c r="W7">
        <f>+sum_sheet!V7*'Equivalence Factor'!$L7</f>
        <v>0</v>
      </c>
      <c r="X7">
        <f>+sum_sheet!W7*'Equivalence Factor'!$L7</f>
        <v>0</v>
      </c>
      <c r="Y7">
        <f>+sum_sheet!X7*'Equivalence Factor'!$L7</f>
        <v>0</v>
      </c>
      <c r="Z7">
        <f>+sum_sheet!Y7*'Equivalence Factor'!$L7</f>
        <v>0</v>
      </c>
      <c r="AA7">
        <f>+sum_sheet!Z7*'Equivalence Factor'!$L7</f>
        <v>0</v>
      </c>
      <c r="AB7">
        <f>+sum_sheet!AA7*'Equivalence Factor'!$L7</f>
        <v>0</v>
      </c>
      <c r="AC7">
        <f>+sum_sheet!AB7*'Equivalence Factor'!$L7</f>
        <v>0</v>
      </c>
      <c r="AD7">
        <f>+sum_sheet!AC7*'Equivalence Factor'!$L7</f>
        <v>0</v>
      </c>
      <c r="AE7">
        <f>+sum_sheet!AD7*'Equivalence Factor'!$L7</f>
        <v>0</v>
      </c>
      <c r="AF7">
        <f>+sum_sheet!AE7*'Equivalence Factor'!$L7</f>
        <v>0</v>
      </c>
      <c r="AG7">
        <f>+sum_sheet!AF7*'Equivalence Factor'!$L7</f>
        <v>0</v>
      </c>
      <c r="AH7">
        <f>+sum_sheet!AG7*'Equivalence Factor'!$L7</f>
        <v>0</v>
      </c>
      <c r="AI7">
        <f>+sum_sheet!AH7*'Equivalence Factor'!$L7</f>
        <v>0</v>
      </c>
      <c r="AJ7">
        <f>+sum_sheet!AI7*'Equivalence Factor'!$L7</f>
        <v>0</v>
      </c>
      <c r="AK7">
        <f>+sum_sheet!AJ7*'Equivalence Factor'!$L7</f>
        <v>0</v>
      </c>
      <c r="AL7">
        <f>+sum_sheet!AK7*'Equivalence Factor'!$L7</f>
        <v>0</v>
      </c>
      <c r="AM7">
        <f>+sum_sheet!AL7*'Equivalence Factor'!$L7</f>
        <v>0</v>
      </c>
      <c r="AN7">
        <f>+sum_sheet!AM7*'Equivalence Factor'!$L7</f>
        <v>0</v>
      </c>
      <c r="AO7">
        <f>+sum_sheet!AN7*'Equivalence Factor'!$L7</f>
        <v>0</v>
      </c>
      <c r="AP7">
        <f>+sum_sheet!AO7*'Equivalence Factor'!$L7</f>
        <v>0</v>
      </c>
      <c r="AQ7">
        <f>+sum_sheet!AP7*'Equivalence Factor'!$L7</f>
        <v>0</v>
      </c>
      <c r="AR7">
        <f>+sum_sheet!AQ7*'Equivalence Factor'!$L7</f>
        <v>0</v>
      </c>
      <c r="AS7">
        <f>+sum_sheet!AR7*'Equivalence Factor'!$L7</f>
        <v>0</v>
      </c>
      <c r="AT7">
        <f>+sum_sheet!AS7*'Equivalence Factor'!$L7</f>
        <v>0</v>
      </c>
    </row>
    <row r="8" spans="1:46" x14ac:dyDescent="0.2">
      <c r="A8" s="3" t="s">
        <v>171</v>
      </c>
      <c r="B8" t="s">
        <v>328</v>
      </c>
      <c r="C8" s="3" t="s">
        <v>9</v>
      </c>
      <c r="D8" s="3" t="s">
        <v>214</v>
      </c>
      <c r="E8" s="3" t="s">
        <v>211</v>
      </c>
      <c r="F8" s="3">
        <v>0</v>
      </c>
      <c r="G8" s="3" t="s">
        <v>0</v>
      </c>
      <c r="H8" s="3" t="s">
        <v>0</v>
      </c>
      <c r="I8" s="3" t="s">
        <v>0</v>
      </c>
      <c r="J8" s="3" t="s">
        <v>0</v>
      </c>
      <c r="K8" s="3" t="s">
        <v>0</v>
      </c>
      <c r="L8" s="3" t="s">
        <v>0</v>
      </c>
      <c r="M8" s="4">
        <v>-1</v>
      </c>
      <c r="O8">
        <f>+sum_sheet!N8*'Equivalence Factor'!$L8</f>
        <v>0</v>
      </c>
      <c r="P8">
        <f>+sum_sheet!O8*'Equivalence Factor'!$L8</f>
        <v>0</v>
      </c>
      <c r="Q8">
        <f>+sum_sheet!P8*'Equivalence Factor'!$L8</f>
        <v>0</v>
      </c>
      <c r="R8">
        <f>+sum_sheet!Q8*'Equivalence Factor'!$L8</f>
        <v>0</v>
      </c>
      <c r="S8">
        <f>+sum_sheet!R8*'Equivalence Factor'!$L8</f>
        <v>0</v>
      </c>
      <c r="T8">
        <f>+sum_sheet!S8*'Equivalence Factor'!$L8</f>
        <v>0</v>
      </c>
      <c r="U8">
        <f>+sum_sheet!T8*'Equivalence Factor'!$L8</f>
        <v>0</v>
      </c>
      <c r="V8">
        <f>+sum_sheet!U8*'Equivalence Factor'!$L8</f>
        <v>0</v>
      </c>
      <c r="W8">
        <f>+sum_sheet!V8*'Equivalence Factor'!$L8</f>
        <v>0</v>
      </c>
      <c r="X8">
        <f>+sum_sheet!W8*'Equivalence Factor'!$L8</f>
        <v>0</v>
      </c>
      <c r="Y8">
        <f>+sum_sheet!X8*'Equivalence Factor'!$L8</f>
        <v>0</v>
      </c>
      <c r="Z8">
        <f>+sum_sheet!Y8*'Equivalence Factor'!$L8</f>
        <v>0</v>
      </c>
      <c r="AA8">
        <f>+sum_sheet!Z8*'Equivalence Factor'!$L8</f>
        <v>0</v>
      </c>
      <c r="AB8">
        <f>+sum_sheet!AA8*'Equivalence Factor'!$L8</f>
        <v>0</v>
      </c>
      <c r="AC8">
        <f>+sum_sheet!AB8*'Equivalence Factor'!$L8</f>
        <v>0</v>
      </c>
      <c r="AD8">
        <f>+sum_sheet!AC8*'Equivalence Factor'!$L8</f>
        <v>0</v>
      </c>
      <c r="AE8">
        <f>+sum_sheet!AD8*'Equivalence Factor'!$L8</f>
        <v>0</v>
      </c>
      <c r="AF8">
        <f>+sum_sheet!AE8*'Equivalence Factor'!$L8</f>
        <v>0</v>
      </c>
      <c r="AG8">
        <f>+sum_sheet!AF8*'Equivalence Factor'!$L8</f>
        <v>0</v>
      </c>
      <c r="AH8">
        <f>+sum_sheet!AG8*'Equivalence Factor'!$L8</f>
        <v>0</v>
      </c>
      <c r="AI8">
        <f>+sum_sheet!AH8*'Equivalence Factor'!$L8</f>
        <v>0</v>
      </c>
      <c r="AJ8">
        <f>+sum_sheet!AI8*'Equivalence Factor'!$L8</f>
        <v>0</v>
      </c>
      <c r="AK8">
        <f>+sum_sheet!AJ8*'Equivalence Factor'!$L8</f>
        <v>0</v>
      </c>
      <c r="AL8">
        <f>+sum_sheet!AK8*'Equivalence Factor'!$L8</f>
        <v>0</v>
      </c>
      <c r="AM8">
        <f>+sum_sheet!AL8*'Equivalence Factor'!$L8</f>
        <v>0</v>
      </c>
      <c r="AN8">
        <f>+sum_sheet!AM8*'Equivalence Factor'!$L8</f>
        <v>0</v>
      </c>
      <c r="AO8">
        <f>+sum_sheet!AN8*'Equivalence Factor'!$L8</f>
        <v>0</v>
      </c>
      <c r="AP8">
        <f>+sum_sheet!AO8*'Equivalence Factor'!$L8</f>
        <v>0</v>
      </c>
      <c r="AQ8">
        <f>+sum_sheet!AP8*'Equivalence Factor'!$L8</f>
        <v>0</v>
      </c>
      <c r="AR8">
        <f>+sum_sheet!AQ8*'Equivalence Factor'!$L8</f>
        <v>0</v>
      </c>
      <c r="AS8">
        <f>+sum_sheet!AR8*'Equivalence Factor'!$L8</f>
        <v>0</v>
      </c>
      <c r="AT8">
        <f>+sum_sheet!AS8*'Equivalence Factor'!$L8</f>
        <v>0</v>
      </c>
    </row>
    <row r="9" spans="1:46" x14ac:dyDescent="0.2">
      <c r="A9" s="3" t="s">
        <v>171</v>
      </c>
      <c r="B9" t="s">
        <v>328</v>
      </c>
      <c r="C9" s="3" t="s">
        <v>9</v>
      </c>
      <c r="D9" s="3" t="s">
        <v>315</v>
      </c>
      <c r="E9" s="3" t="s">
        <v>316</v>
      </c>
      <c r="F9" s="3">
        <v>0</v>
      </c>
      <c r="G9" s="3" t="s">
        <v>0</v>
      </c>
      <c r="H9" s="3" t="s">
        <v>0</v>
      </c>
      <c r="I9" s="3" t="s">
        <v>0</v>
      </c>
      <c r="J9" s="3" t="s">
        <v>0</v>
      </c>
      <c r="K9" s="3" t="s">
        <v>0</v>
      </c>
      <c r="L9" s="3" t="s">
        <v>0</v>
      </c>
      <c r="M9" s="4">
        <v>-1</v>
      </c>
      <c r="O9">
        <f>+sum_sheet!N9*'Equivalence Factor'!$L9</f>
        <v>0</v>
      </c>
      <c r="P9">
        <f>+sum_sheet!O9*'Equivalence Factor'!$L9</f>
        <v>0</v>
      </c>
      <c r="Q9">
        <f>+sum_sheet!P9*'Equivalence Factor'!$L9</f>
        <v>0</v>
      </c>
      <c r="R9">
        <f>+sum_sheet!Q9*'Equivalence Factor'!$L9</f>
        <v>0</v>
      </c>
      <c r="S9">
        <f>+sum_sheet!R9*'Equivalence Factor'!$L9</f>
        <v>0</v>
      </c>
      <c r="T9">
        <f>+sum_sheet!S9*'Equivalence Factor'!$L9</f>
        <v>0</v>
      </c>
      <c r="U9">
        <f>+sum_sheet!T9*'Equivalence Factor'!$L9</f>
        <v>0</v>
      </c>
      <c r="V9">
        <f>+sum_sheet!U9*'Equivalence Factor'!$L9</f>
        <v>0</v>
      </c>
      <c r="W9">
        <f>+sum_sheet!V9*'Equivalence Factor'!$L9</f>
        <v>0</v>
      </c>
      <c r="X9">
        <f>+sum_sheet!W9*'Equivalence Factor'!$L9</f>
        <v>0</v>
      </c>
      <c r="Y9">
        <f>+sum_sheet!X9*'Equivalence Factor'!$L9</f>
        <v>0</v>
      </c>
      <c r="Z9">
        <f>+sum_sheet!Y9*'Equivalence Factor'!$L9</f>
        <v>0</v>
      </c>
      <c r="AA9">
        <f>+sum_sheet!Z9*'Equivalence Factor'!$L9</f>
        <v>0</v>
      </c>
      <c r="AB9">
        <f>+sum_sheet!AA9*'Equivalence Factor'!$L9</f>
        <v>0</v>
      </c>
      <c r="AC9">
        <f>+sum_sheet!AB9*'Equivalence Factor'!$L9</f>
        <v>0</v>
      </c>
      <c r="AD9">
        <f>+sum_sheet!AC9*'Equivalence Factor'!$L9</f>
        <v>0</v>
      </c>
      <c r="AE9">
        <f>+sum_sheet!AD9*'Equivalence Factor'!$L9</f>
        <v>0</v>
      </c>
      <c r="AF9">
        <f>+sum_sheet!AE9*'Equivalence Factor'!$L9</f>
        <v>0</v>
      </c>
      <c r="AG9">
        <f>+sum_sheet!AF9*'Equivalence Factor'!$L9</f>
        <v>0</v>
      </c>
      <c r="AH9">
        <f>+sum_sheet!AG9*'Equivalence Factor'!$L9</f>
        <v>0</v>
      </c>
      <c r="AI9">
        <f>+sum_sheet!AH9*'Equivalence Factor'!$L9</f>
        <v>0</v>
      </c>
      <c r="AJ9">
        <f>+sum_sheet!AI9*'Equivalence Factor'!$L9</f>
        <v>0</v>
      </c>
      <c r="AK9">
        <f>+sum_sheet!AJ9*'Equivalence Factor'!$L9</f>
        <v>0</v>
      </c>
      <c r="AL9">
        <f>+sum_sheet!AK9*'Equivalence Factor'!$L9</f>
        <v>0</v>
      </c>
      <c r="AM9">
        <f>+sum_sheet!AL9*'Equivalence Factor'!$L9</f>
        <v>0</v>
      </c>
      <c r="AN9">
        <f>+sum_sheet!AM9*'Equivalence Factor'!$L9</f>
        <v>0</v>
      </c>
      <c r="AO9">
        <f>+sum_sheet!AN9*'Equivalence Factor'!$L9</f>
        <v>0</v>
      </c>
      <c r="AP9">
        <f>+sum_sheet!AO9*'Equivalence Factor'!$L9</f>
        <v>0</v>
      </c>
      <c r="AQ9">
        <f>+sum_sheet!AP9*'Equivalence Factor'!$L9</f>
        <v>0</v>
      </c>
      <c r="AR9">
        <f>+sum_sheet!AQ9*'Equivalence Factor'!$L9</f>
        <v>0</v>
      </c>
      <c r="AS9">
        <f>+sum_sheet!AR9*'Equivalence Factor'!$L9</f>
        <v>0</v>
      </c>
      <c r="AT9">
        <f>+sum_sheet!AS9*'Equivalence Factor'!$L9</f>
        <v>0</v>
      </c>
    </row>
    <row r="10" spans="1:46" x14ac:dyDescent="0.2">
      <c r="A10" s="3" t="s">
        <v>199</v>
      </c>
      <c r="B10" t="s">
        <v>328</v>
      </c>
      <c r="C10" s="3" t="s">
        <v>3</v>
      </c>
      <c r="D10" s="3" t="s">
        <v>202</v>
      </c>
      <c r="E10" s="3" t="s">
        <v>203</v>
      </c>
      <c r="F10" s="3">
        <v>1</v>
      </c>
      <c r="G10" s="3" t="s">
        <v>18</v>
      </c>
      <c r="H10" s="3" t="s">
        <v>3</v>
      </c>
      <c r="I10" s="3" t="s">
        <v>171</v>
      </c>
      <c r="J10" s="3" t="s">
        <v>292</v>
      </c>
      <c r="K10" s="5" t="s">
        <v>205</v>
      </c>
      <c r="L10" s="28" t="s">
        <v>204</v>
      </c>
      <c r="M10" s="4">
        <v>46</v>
      </c>
      <c r="O10">
        <f>+sum_sheet!N10*'Equivalence Factor'!$L10</f>
        <v>0.56726867393908398</v>
      </c>
      <c r="P10">
        <f>+sum_sheet!O10*'Equivalence Factor'!$L10</f>
        <v>0.42165635590775041</v>
      </c>
      <c r="Q10">
        <f>+sum_sheet!P10*'Equivalence Factor'!$L10</f>
        <v>0.48129969662264399</v>
      </c>
      <c r="R10">
        <f>+sum_sheet!Q10*'Equivalence Factor'!$L10</f>
        <v>0.43540414568082569</v>
      </c>
      <c r="S10">
        <f>+sum_sheet!R10*'Equivalence Factor'!$L10</f>
        <v>0.42734028551680731</v>
      </c>
      <c r="T10">
        <f>+sum_sheet!S10*'Equivalence Factor'!$L10</f>
        <v>0.36599019715228054</v>
      </c>
      <c r="U10">
        <f>+sum_sheet!T10*'Equivalence Factor'!$L10</f>
        <v>0.50251276085630026</v>
      </c>
      <c r="V10">
        <f>+sum_sheet!U10*'Equivalence Factor'!$L10</f>
        <v>0.46381848651668645</v>
      </c>
      <c r="W10">
        <f>+sum_sheet!V10*'Equivalence Factor'!$L10</f>
        <v>0.32743984857585012</v>
      </c>
      <c r="X10">
        <f>+sum_sheet!W10*'Equivalence Factor'!$L10</f>
        <v>0.40548809429197408</v>
      </c>
      <c r="Y10">
        <f>+sum_sheet!X10*'Equivalence Factor'!$L10</f>
        <v>0.33449418262265795</v>
      </c>
      <c r="Z10">
        <f>+sum_sheet!Y10*'Equivalence Factor'!$L10</f>
        <v>0.36047637997377946</v>
      </c>
      <c r="AA10">
        <f>+sum_sheet!Z10*'Equivalence Factor'!$L10</f>
        <v>0.38495080674004101</v>
      </c>
      <c r="AB10">
        <f>+sum_sheet!AA10*'Equivalence Factor'!$L10</f>
        <v>0.41777925481680445</v>
      </c>
      <c r="AC10">
        <f>+sum_sheet!AB10*'Equivalence Factor'!$L10</f>
        <v>0.41138220326913599</v>
      </c>
      <c r="AD10">
        <f>+sum_sheet!AC10*'Equivalence Factor'!$L10</f>
        <v>0.38718195114629855</v>
      </c>
      <c r="AE10">
        <f>+sum_sheet!AD10*'Equivalence Factor'!$L10</f>
        <v>0.35097876835288705</v>
      </c>
      <c r="AF10">
        <f>+sum_sheet!AE10*'Equivalence Factor'!$L10</f>
        <v>0.47245644451975832</v>
      </c>
      <c r="AG10">
        <f>+sum_sheet!AF10*'Equivalence Factor'!$L10</f>
        <v>0.45432495387343846</v>
      </c>
      <c r="AH10">
        <f>+sum_sheet!AG10*'Equivalence Factor'!$L10</f>
        <v>0.46074215936459301</v>
      </c>
      <c r="AI10">
        <f>+sum_sheet!AH10*'Equivalence Factor'!$L10</f>
        <v>0.49298179394223707</v>
      </c>
      <c r="AJ10">
        <f>+sum_sheet!AI10*'Equivalence Factor'!$L10</f>
        <v>0.47203619342533043</v>
      </c>
      <c r="AK10">
        <f>+sum_sheet!AJ10*'Equivalence Factor'!$L10</f>
        <v>0.60187713916067087</v>
      </c>
      <c r="AL10">
        <f>+sum_sheet!AK10*'Equivalence Factor'!$L10</f>
        <v>0.67680435207104739</v>
      </c>
      <c r="AM10">
        <f>+sum_sheet!AL10*'Equivalence Factor'!$L10</f>
        <v>0.79086789529191148</v>
      </c>
      <c r="AN10">
        <f>+sum_sheet!AM10*'Equivalence Factor'!$L10</f>
        <v>0.57242691827374814</v>
      </c>
      <c r="AO10">
        <f>+sum_sheet!AN10*'Equivalence Factor'!$L10</f>
        <v>0.54541696330685607</v>
      </c>
      <c r="AP10">
        <f>+sum_sheet!AO10*'Equivalence Factor'!$L10</f>
        <v>0.61605304555800111</v>
      </c>
      <c r="AQ10">
        <f>+sum_sheet!AP10*'Equivalence Factor'!$L10</f>
        <v>0.59623211835272405</v>
      </c>
      <c r="AR10">
        <f>+sum_sheet!AQ10*'Equivalence Factor'!$L10</f>
        <v>0.39243887615346335</v>
      </c>
      <c r="AS10">
        <f>+sum_sheet!AR10*'Equivalence Factor'!$L10</f>
        <v>0.51502690448266242</v>
      </c>
      <c r="AT10">
        <f>+sum_sheet!AS10*'Equivalence Factor'!$L10</f>
        <v>0.52303501240721351</v>
      </c>
    </row>
    <row r="11" spans="1:46" x14ac:dyDescent="0.2">
      <c r="A11" s="3" t="s">
        <v>130</v>
      </c>
      <c r="B11" t="s">
        <v>329</v>
      </c>
      <c r="C11" s="3" t="s">
        <v>17</v>
      </c>
      <c r="D11" s="3" t="s">
        <v>134</v>
      </c>
      <c r="E11" s="3" t="s">
        <v>133</v>
      </c>
      <c r="F11" s="3">
        <v>0</v>
      </c>
      <c r="G11" s="3" t="s">
        <v>0</v>
      </c>
      <c r="H11" s="3" t="s">
        <v>0</v>
      </c>
      <c r="I11" s="3" t="s">
        <v>0</v>
      </c>
      <c r="J11" s="3" t="s">
        <v>0</v>
      </c>
      <c r="K11" s="3" t="s">
        <v>0</v>
      </c>
      <c r="L11" s="3" t="s">
        <v>0</v>
      </c>
      <c r="M11" s="4">
        <v>-1</v>
      </c>
      <c r="O11">
        <f>+sum_sheet!N11*'Equivalence Factor'!$L11</f>
        <v>0</v>
      </c>
      <c r="P11">
        <f>+sum_sheet!O11*'Equivalence Factor'!$L11</f>
        <v>0</v>
      </c>
      <c r="Q11">
        <f>+sum_sheet!P11*'Equivalence Factor'!$L11</f>
        <v>0</v>
      </c>
      <c r="R11">
        <f>+sum_sheet!Q11*'Equivalence Factor'!$L11</f>
        <v>0</v>
      </c>
      <c r="S11">
        <f>+sum_sheet!R11*'Equivalence Factor'!$L11</f>
        <v>0</v>
      </c>
      <c r="T11">
        <f>+sum_sheet!S11*'Equivalence Factor'!$L11</f>
        <v>0</v>
      </c>
      <c r="U11">
        <f>+sum_sheet!T11*'Equivalence Factor'!$L11</f>
        <v>0</v>
      </c>
      <c r="V11">
        <f>+sum_sheet!U11*'Equivalence Factor'!$L11</f>
        <v>0</v>
      </c>
      <c r="W11">
        <f>+sum_sheet!V11*'Equivalence Factor'!$L11</f>
        <v>0</v>
      </c>
      <c r="X11">
        <f>+sum_sheet!W11*'Equivalence Factor'!$L11</f>
        <v>0</v>
      </c>
      <c r="Y11">
        <f>+sum_sheet!X11*'Equivalence Factor'!$L11</f>
        <v>0</v>
      </c>
      <c r="Z11">
        <f>+sum_sheet!Y11*'Equivalence Factor'!$L11</f>
        <v>0</v>
      </c>
      <c r="AA11">
        <f>+sum_sheet!Z11*'Equivalence Factor'!$L11</f>
        <v>0</v>
      </c>
      <c r="AB11">
        <f>+sum_sheet!AA11*'Equivalence Factor'!$L11</f>
        <v>0</v>
      </c>
      <c r="AC11">
        <f>+sum_sheet!AB11*'Equivalence Factor'!$L11</f>
        <v>0</v>
      </c>
      <c r="AD11">
        <f>+sum_sheet!AC11*'Equivalence Factor'!$L11</f>
        <v>0</v>
      </c>
      <c r="AE11">
        <f>+sum_sheet!AD11*'Equivalence Factor'!$L11</f>
        <v>0</v>
      </c>
      <c r="AF11">
        <f>+sum_sheet!AE11*'Equivalence Factor'!$L11</f>
        <v>0</v>
      </c>
      <c r="AG11">
        <f>+sum_sheet!AF11*'Equivalence Factor'!$L11</f>
        <v>0</v>
      </c>
      <c r="AH11">
        <f>+sum_sheet!AG11*'Equivalence Factor'!$L11</f>
        <v>0</v>
      </c>
      <c r="AI11">
        <f>+sum_sheet!AH11*'Equivalence Factor'!$L11</f>
        <v>0</v>
      </c>
      <c r="AJ11">
        <f>+sum_sheet!AI11*'Equivalence Factor'!$L11</f>
        <v>0</v>
      </c>
      <c r="AK11">
        <f>+sum_sheet!AJ11*'Equivalence Factor'!$L11</f>
        <v>0</v>
      </c>
      <c r="AL11">
        <f>+sum_sheet!AK11*'Equivalence Factor'!$L11</f>
        <v>0</v>
      </c>
      <c r="AM11">
        <f>+sum_sheet!AL11*'Equivalence Factor'!$L11</f>
        <v>0</v>
      </c>
      <c r="AN11">
        <f>+sum_sheet!AM11*'Equivalence Factor'!$L11</f>
        <v>0</v>
      </c>
      <c r="AO11">
        <f>+sum_sheet!AN11*'Equivalence Factor'!$L11</f>
        <v>0</v>
      </c>
      <c r="AP11">
        <f>+sum_sheet!AO11*'Equivalence Factor'!$L11</f>
        <v>0</v>
      </c>
      <c r="AQ11">
        <f>+sum_sheet!AP11*'Equivalence Factor'!$L11</f>
        <v>0</v>
      </c>
      <c r="AR11">
        <f>+sum_sheet!AQ11*'Equivalence Factor'!$L11</f>
        <v>0</v>
      </c>
      <c r="AS11">
        <f>+sum_sheet!AR11*'Equivalence Factor'!$L11</f>
        <v>0</v>
      </c>
      <c r="AT11">
        <f>+sum_sheet!AS11*'Equivalence Factor'!$L11</f>
        <v>0</v>
      </c>
    </row>
    <row r="12" spans="1:46" x14ac:dyDescent="0.2">
      <c r="A12" s="3" t="s">
        <v>130</v>
      </c>
      <c r="B12" t="s">
        <v>329</v>
      </c>
      <c r="C12" s="3" t="s">
        <v>9</v>
      </c>
      <c r="D12" s="3" t="s">
        <v>132</v>
      </c>
      <c r="E12" s="3" t="s">
        <v>131</v>
      </c>
      <c r="F12" s="3">
        <v>0</v>
      </c>
      <c r="G12" s="3" t="s">
        <v>0</v>
      </c>
      <c r="H12" s="3" t="s">
        <v>0</v>
      </c>
      <c r="I12" s="3" t="s">
        <v>0</v>
      </c>
      <c r="J12" s="3" t="s">
        <v>0</v>
      </c>
      <c r="K12" s="3" t="s">
        <v>0</v>
      </c>
      <c r="L12" s="3" t="s">
        <v>0</v>
      </c>
      <c r="M12" s="4">
        <v>-1</v>
      </c>
      <c r="O12">
        <f>+sum_sheet!N12*'Equivalence Factor'!$L12</f>
        <v>0</v>
      </c>
      <c r="P12">
        <f>+sum_sheet!O12*'Equivalence Factor'!$L12</f>
        <v>0</v>
      </c>
      <c r="Q12">
        <f>+sum_sheet!P12*'Equivalence Factor'!$L12</f>
        <v>0</v>
      </c>
      <c r="R12">
        <f>+sum_sheet!Q12*'Equivalence Factor'!$L12</f>
        <v>0</v>
      </c>
      <c r="S12">
        <f>+sum_sheet!R12*'Equivalence Factor'!$L12</f>
        <v>0</v>
      </c>
      <c r="T12">
        <f>+sum_sheet!S12*'Equivalence Factor'!$L12</f>
        <v>0</v>
      </c>
      <c r="U12">
        <f>+sum_sheet!T12*'Equivalence Factor'!$L12</f>
        <v>0</v>
      </c>
      <c r="V12">
        <f>+sum_sheet!U12*'Equivalence Factor'!$L12</f>
        <v>0</v>
      </c>
      <c r="W12">
        <f>+sum_sheet!V12*'Equivalence Factor'!$L12</f>
        <v>0</v>
      </c>
      <c r="X12">
        <f>+sum_sheet!W12*'Equivalence Factor'!$L12</f>
        <v>0</v>
      </c>
      <c r="Y12">
        <f>+sum_sheet!X12*'Equivalence Factor'!$L12</f>
        <v>0</v>
      </c>
      <c r="Z12">
        <f>+sum_sheet!Y12*'Equivalence Factor'!$L12</f>
        <v>0</v>
      </c>
      <c r="AA12">
        <f>+sum_sheet!Z12*'Equivalence Factor'!$L12</f>
        <v>0</v>
      </c>
      <c r="AB12">
        <f>+sum_sheet!AA12*'Equivalence Factor'!$L12</f>
        <v>0</v>
      </c>
      <c r="AC12">
        <f>+sum_sheet!AB12*'Equivalence Factor'!$L12</f>
        <v>0</v>
      </c>
      <c r="AD12">
        <f>+sum_sheet!AC12*'Equivalence Factor'!$L12</f>
        <v>0</v>
      </c>
      <c r="AE12">
        <f>+sum_sheet!AD12*'Equivalence Factor'!$L12</f>
        <v>0</v>
      </c>
      <c r="AF12">
        <f>+sum_sheet!AE12*'Equivalence Factor'!$L12</f>
        <v>0</v>
      </c>
      <c r="AG12">
        <f>+sum_sheet!AF12*'Equivalence Factor'!$L12</f>
        <v>0</v>
      </c>
      <c r="AH12">
        <f>+sum_sheet!AG12*'Equivalence Factor'!$L12</f>
        <v>0</v>
      </c>
      <c r="AI12">
        <f>+sum_sheet!AH12*'Equivalence Factor'!$L12</f>
        <v>0</v>
      </c>
      <c r="AJ12">
        <f>+sum_sheet!AI12*'Equivalence Factor'!$L12</f>
        <v>0</v>
      </c>
      <c r="AK12">
        <f>+sum_sheet!AJ12*'Equivalence Factor'!$L12</f>
        <v>0</v>
      </c>
      <c r="AL12">
        <f>+sum_sheet!AK12*'Equivalence Factor'!$L12</f>
        <v>0</v>
      </c>
      <c r="AM12">
        <f>+sum_sheet!AL12*'Equivalence Factor'!$L12</f>
        <v>0</v>
      </c>
      <c r="AN12">
        <f>+sum_sheet!AM12*'Equivalence Factor'!$L12</f>
        <v>0</v>
      </c>
      <c r="AO12">
        <f>+sum_sheet!AN12*'Equivalence Factor'!$L12</f>
        <v>0</v>
      </c>
      <c r="AP12">
        <f>+sum_sheet!AO12*'Equivalence Factor'!$L12</f>
        <v>0</v>
      </c>
      <c r="AQ12">
        <f>+sum_sheet!AP12*'Equivalence Factor'!$L12</f>
        <v>0</v>
      </c>
      <c r="AR12">
        <f>+sum_sheet!AQ12*'Equivalence Factor'!$L12</f>
        <v>0</v>
      </c>
      <c r="AS12">
        <f>+sum_sheet!AR12*'Equivalence Factor'!$L12</f>
        <v>0</v>
      </c>
      <c r="AT12">
        <f>+sum_sheet!AS12*'Equivalence Factor'!$L12</f>
        <v>0</v>
      </c>
    </row>
    <row r="13" spans="1:46" x14ac:dyDescent="0.2">
      <c r="A13" s="3" t="s">
        <v>130</v>
      </c>
      <c r="B13" t="s">
        <v>329</v>
      </c>
      <c r="C13" s="3" t="s">
        <v>3</v>
      </c>
      <c r="D13" s="3" t="s">
        <v>129</v>
      </c>
      <c r="E13" s="3" t="s">
        <v>128</v>
      </c>
      <c r="F13" s="3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4">
        <v>-1</v>
      </c>
      <c r="O13">
        <f>+sum_sheet!N13*'Equivalence Factor'!$L13</f>
        <v>0</v>
      </c>
      <c r="P13">
        <f>+sum_sheet!O13*'Equivalence Factor'!$L13</f>
        <v>0</v>
      </c>
      <c r="Q13">
        <f>+sum_sheet!P13*'Equivalence Factor'!$L13</f>
        <v>0</v>
      </c>
      <c r="R13">
        <f>+sum_sheet!Q13*'Equivalence Factor'!$L13</f>
        <v>0</v>
      </c>
      <c r="S13">
        <f>+sum_sheet!R13*'Equivalence Factor'!$L13</f>
        <v>0</v>
      </c>
      <c r="T13">
        <f>+sum_sheet!S13*'Equivalence Factor'!$L13</f>
        <v>0</v>
      </c>
      <c r="U13">
        <f>+sum_sheet!T13*'Equivalence Factor'!$L13</f>
        <v>0</v>
      </c>
      <c r="V13">
        <f>+sum_sheet!U13*'Equivalence Factor'!$L13</f>
        <v>0</v>
      </c>
      <c r="W13">
        <f>+sum_sheet!V13*'Equivalence Factor'!$L13</f>
        <v>0</v>
      </c>
      <c r="X13">
        <f>+sum_sheet!W13*'Equivalence Factor'!$L13</f>
        <v>0</v>
      </c>
      <c r="Y13">
        <f>+sum_sheet!X13*'Equivalence Factor'!$L13</f>
        <v>0</v>
      </c>
      <c r="Z13">
        <f>+sum_sheet!Y13*'Equivalence Factor'!$L13</f>
        <v>0</v>
      </c>
      <c r="AA13">
        <f>+sum_sheet!Z13*'Equivalence Factor'!$L13</f>
        <v>0</v>
      </c>
      <c r="AB13">
        <f>+sum_sheet!AA13*'Equivalence Factor'!$L13</f>
        <v>0</v>
      </c>
      <c r="AC13">
        <f>+sum_sheet!AB13*'Equivalence Factor'!$L13</f>
        <v>0</v>
      </c>
      <c r="AD13">
        <f>+sum_sheet!AC13*'Equivalence Factor'!$L13</f>
        <v>0</v>
      </c>
      <c r="AE13">
        <f>+sum_sheet!AD13*'Equivalence Factor'!$L13</f>
        <v>0</v>
      </c>
      <c r="AF13">
        <f>+sum_sheet!AE13*'Equivalence Factor'!$L13</f>
        <v>0</v>
      </c>
      <c r="AG13">
        <f>+sum_sheet!AF13*'Equivalence Factor'!$L13</f>
        <v>0</v>
      </c>
      <c r="AH13">
        <f>+sum_sheet!AG13*'Equivalence Factor'!$L13</f>
        <v>0</v>
      </c>
      <c r="AI13">
        <f>+sum_sheet!AH13*'Equivalence Factor'!$L13</f>
        <v>0</v>
      </c>
      <c r="AJ13">
        <f>+sum_sheet!AI13*'Equivalence Factor'!$L13</f>
        <v>0</v>
      </c>
      <c r="AK13">
        <f>+sum_sheet!AJ13*'Equivalence Factor'!$L13</f>
        <v>0</v>
      </c>
      <c r="AL13">
        <f>+sum_sheet!AK13*'Equivalence Factor'!$L13</f>
        <v>0</v>
      </c>
      <c r="AM13">
        <f>+sum_sheet!AL13*'Equivalence Factor'!$L13</f>
        <v>0</v>
      </c>
      <c r="AN13">
        <f>+sum_sheet!AM13*'Equivalence Factor'!$L13</f>
        <v>0</v>
      </c>
      <c r="AO13">
        <f>+sum_sheet!AN13*'Equivalence Factor'!$L13</f>
        <v>0</v>
      </c>
      <c r="AP13">
        <f>+sum_sheet!AO13*'Equivalence Factor'!$L13</f>
        <v>0</v>
      </c>
      <c r="AQ13">
        <f>+sum_sheet!AP13*'Equivalence Factor'!$L13</f>
        <v>0</v>
      </c>
      <c r="AR13">
        <f>+sum_sheet!AQ13*'Equivalence Factor'!$L13</f>
        <v>0</v>
      </c>
      <c r="AS13">
        <f>+sum_sheet!AR13*'Equivalence Factor'!$L13</f>
        <v>0</v>
      </c>
      <c r="AT13">
        <f>+sum_sheet!AS13*'Equivalence Factor'!$L13</f>
        <v>0</v>
      </c>
    </row>
    <row r="14" spans="1:46" x14ac:dyDescent="0.2">
      <c r="A14" s="3" t="s">
        <v>16</v>
      </c>
      <c r="B14" t="s">
        <v>330</v>
      </c>
      <c r="C14" s="3" t="s">
        <v>9</v>
      </c>
      <c r="D14" s="3" t="s">
        <v>27</v>
      </c>
      <c r="E14" s="3" t="s">
        <v>26</v>
      </c>
      <c r="F14" s="3">
        <v>1</v>
      </c>
      <c r="G14" s="3" t="s">
        <v>15</v>
      </c>
      <c r="H14" s="3" t="s">
        <v>14</v>
      </c>
      <c r="I14" s="3" t="s">
        <v>25</v>
      </c>
      <c r="J14" s="6" t="s">
        <v>293</v>
      </c>
      <c r="K14" s="3" t="s">
        <v>24</v>
      </c>
      <c r="L14" s="7" t="s">
        <v>23</v>
      </c>
      <c r="M14" s="4">
        <v>28</v>
      </c>
      <c r="O14">
        <f>+sum_sheet!N14*'Equivalence Factor'!$L14</f>
        <v>0</v>
      </c>
      <c r="P14">
        <f>+sum_sheet!O14*'Equivalence Factor'!$L14</f>
        <v>0</v>
      </c>
      <c r="Q14">
        <f>+sum_sheet!P14*'Equivalence Factor'!$L14</f>
        <v>0</v>
      </c>
      <c r="R14">
        <f>+sum_sheet!Q14*'Equivalence Factor'!$L14</f>
        <v>0</v>
      </c>
      <c r="S14">
        <f>+sum_sheet!R14*'Equivalence Factor'!$L14</f>
        <v>0</v>
      </c>
      <c r="T14">
        <f>+sum_sheet!S14*'Equivalence Factor'!$L14</f>
        <v>0</v>
      </c>
      <c r="U14">
        <f>+sum_sheet!T14*'Equivalence Factor'!$L14</f>
        <v>0</v>
      </c>
      <c r="V14">
        <f>+sum_sheet!U14*'Equivalence Factor'!$L14</f>
        <v>0</v>
      </c>
      <c r="W14">
        <f>+sum_sheet!V14*'Equivalence Factor'!$L14</f>
        <v>0</v>
      </c>
      <c r="X14">
        <f>+sum_sheet!W14*'Equivalence Factor'!$L14</f>
        <v>0</v>
      </c>
      <c r="Y14">
        <f>+sum_sheet!X14*'Equivalence Factor'!$L14</f>
        <v>0</v>
      </c>
      <c r="Z14">
        <f>+sum_sheet!Y14*'Equivalence Factor'!$L14</f>
        <v>0</v>
      </c>
      <c r="AA14">
        <f>+sum_sheet!Z14*'Equivalence Factor'!$L14</f>
        <v>0</v>
      </c>
      <c r="AB14">
        <f>+sum_sheet!AA14*'Equivalence Factor'!$L14</f>
        <v>0</v>
      </c>
      <c r="AC14">
        <f>+sum_sheet!AB14*'Equivalence Factor'!$L14</f>
        <v>0</v>
      </c>
      <c r="AD14">
        <f>+sum_sheet!AC14*'Equivalence Factor'!$L14</f>
        <v>0</v>
      </c>
      <c r="AE14">
        <f>+sum_sheet!AD14*'Equivalence Factor'!$L14</f>
        <v>0</v>
      </c>
      <c r="AF14">
        <f>+sum_sheet!AE14*'Equivalence Factor'!$L14</f>
        <v>0</v>
      </c>
      <c r="AG14">
        <f>+sum_sheet!AF14*'Equivalence Factor'!$L14</f>
        <v>0</v>
      </c>
      <c r="AH14">
        <f>+sum_sheet!AG14*'Equivalence Factor'!$L14</f>
        <v>0</v>
      </c>
      <c r="AI14">
        <f>+sum_sheet!AH14*'Equivalence Factor'!$L14</f>
        <v>0</v>
      </c>
      <c r="AJ14">
        <f>+sum_sheet!AI14*'Equivalence Factor'!$L14</f>
        <v>0</v>
      </c>
      <c r="AK14">
        <f>+sum_sheet!AJ14*'Equivalence Factor'!$L14</f>
        <v>0</v>
      </c>
      <c r="AL14">
        <f>+sum_sheet!AK14*'Equivalence Factor'!$L14</f>
        <v>0</v>
      </c>
      <c r="AM14">
        <f>+sum_sheet!AL14*'Equivalence Factor'!$L14</f>
        <v>0</v>
      </c>
      <c r="AN14">
        <f>+sum_sheet!AM14*'Equivalence Factor'!$L14</f>
        <v>0</v>
      </c>
      <c r="AO14">
        <f>+sum_sheet!AN14*'Equivalence Factor'!$L14</f>
        <v>0</v>
      </c>
      <c r="AP14">
        <f>+sum_sheet!AO14*'Equivalence Factor'!$L14</f>
        <v>0</v>
      </c>
      <c r="AQ14">
        <f>+sum_sheet!AP14*'Equivalence Factor'!$L14</f>
        <v>0</v>
      </c>
      <c r="AR14">
        <f>+sum_sheet!AQ14*'Equivalence Factor'!$L14</f>
        <v>0</v>
      </c>
      <c r="AS14">
        <f>+sum_sheet!AR14*'Equivalence Factor'!$L14</f>
        <v>0</v>
      </c>
      <c r="AT14">
        <f>+sum_sheet!AS14*'Equivalence Factor'!$L14</f>
        <v>0</v>
      </c>
    </row>
    <row r="15" spans="1:46" x14ac:dyDescent="0.2">
      <c r="A15" s="3" t="s">
        <v>16</v>
      </c>
      <c r="B15" t="s">
        <v>330</v>
      </c>
      <c r="C15" s="3" t="s">
        <v>9</v>
      </c>
      <c r="D15" s="3" t="s">
        <v>32</v>
      </c>
      <c r="E15" s="3" t="s">
        <v>26</v>
      </c>
      <c r="F15" s="3">
        <v>1</v>
      </c>
      <c r="G15" s="3" t="s">
        <v>15</v>
      </c>
      <c r="H15" s="3" t="s">
        <v>14</v>
      </c>
      <c r="I15" s="3" t="s">
        <v>25</v>
      </c>
      <c r="J15" s="6" t="s">
        <v>31</v>
      </c>
      <c r="K15" s="3" t="s">
        <v>24</v>
      </c>
      <c r="L15" s="7" t="s">
        <v>21</v>
      </c>
      <c r="M15" s="4">
        <v>25</v>
      </c>
      <c r="O15">
        <f>+sum_sheet!N15*'Equivalence Factor'!$L15</f>
        <v>18.349750095007938</v>
      </c>
      <c r="P15">
        <f>+sum_sheet!O15*'Equivalence Factor'!$L15</f>
        <v>19.423418914110034</v>
      </c>
      <c r="Q15">
        <f>+sum_sheet!P15*'Equivalence Factor'!$L15</f>
        <v>20.242194887567525</v>
      </c>
      <c r="R15">
        <f>+sum_sheet!Q15*'Equivalence Factor'!$L15</f>
        <v>20.180057233865579</v>
      </c>
      <c r="S15">
        <f>+sum_sheet!R15*'Equivalence Factor'!$L15</f>
        <v>20.825335874226351</v>
      </c>
      <c r="T15">
        <f>+sum_sheet!S15*'Equivalence Factor'!$L15</f>
        <v>19.869510118827506</v>
      </c>
      <c r="U15">
        <f>+sum_sheet!T15*'Equivalence Factor'!$L15</f>
        <v>19.325534965097241</v>
      </c>
      <c r="V15">
        <f>+sum_sheet!U15*'Equivalence Factor'!$L15</f>
        <v>21.322769844271459</v>
      </c>
      <c r="W15">
        <f>+sum_sheet!V15*'Equivalence Factor'!$L15</f>
        <v>21.326636595896581</v>
      </c>
      <c r="X15">
        <f>+sum_sheet!W15*'Equivalence Factor'!$L15</f>
        <v>21.590695616328606</v>
      </c>
      <c r="Y15">
        <f>+sum_sheet!X15*'Equivalence Factor'!$L15</f>
        <v>23.999886596897326</v>
      </c>
      <c r="Z15">
        <f>+sum_sheet!Y15*'Equivalence Factor'!$L15</f>
        <v>22.681791839997775</v>
      </c>
      <c r="AA15">
        <f>+sum_sheet!Z15*'Equivalence Factor'!$L15</f>
        <v>22.041419349714371</v>
      </c>
      <c r="AB15">
        <f>+sum_sheet!AA15*'Equivalence Factor'!$L15</f>
        <v>23.414074422427781</v>
      </c>
      <c r="AC15">
        <f>+sum_sheet!AB15*'Equivalence Factor'!$L15</f>
        <v>24.360017416022089</v>
      </c>
      <c r="AD15">
        <f>+sum_sheet!AC15*'Equivalence Factor'!$L15</f>
        <v>24.090799042064603</v>
      </c>
      <c r="AE15">
        <f>+sum_sheet!AD15*'Equivalence Factor'!$L15</f>
        <v>25.144978708613742</v>
      </c>
      <c r="AF15">
        <f>+sum_sheet!AE15*'Equivalence Factor'!$L15</f>
        <v>23.683745529102204</v>
      </c>
      <c r="AG15">
        <f>+sum_sheet!AF15*'Equivalence Factor'!$L15</f>
        <v>24.895938211017349</v>
      </c>
      <c r="AH15">
        <f>+sum_sheet!AG15*'Equivalence Factor'!$L15</f>
        <v>24.081923081993676</v>
      </c>
      <c r="AI15">
        <f>+sum_sheet!AH15*'Equivalence Factor'!$L15</f>
        <v>24.760099646847546</v>
      </c>
      <c r="AJ15">
        <f>+sum_sheet!AI15*'Equivalence Factor'!$L15</f>
        <v>25.664694136663719</v>
      </c>
      <c r="AK15">
        <f>+sum_sheet!AJ15*'Equivalence Factor'!$L15</f>
        <v>22.603499524061778</v>
      </c>
      <c r="AL15">
        <f>+sum_sheet!AK15*'Equivalence Factor'!$L15</f>
        <v>21.566142048547285</v>
      </c>
      <c r="AM15">
        <f>+sum_sheet!AL15*'Equivalence Factor'!$L15</f>
        <v>19.772603674357008</v>
      </c>
      <c r="AN15">
        <f>+sum_sheet!AM15*'Equivalence Factor'!$L15</f>
        <v>16.299560255375788</v>
      </c>
      <c r="AO15">
        <f>+sum_sheet!AN15*'Equivalence Factor'!$L15</f>
        <v>13.040307550258801</v>
      </c>
      <c r="AP15">
        <f>+sum_sheet!AO15*'Equivalence Factor'!$L15</f>
        <v>13.24860716830268</v>
      </c>
      <c r="AQ15">
        <f>+sum_sheet!AP15*'Equivalence Factor'!$L15</f>
        <v>12.805765583301392</v>
      </c>
      <c r="AR15">
        <f>+sum_sheet!AQ15*'Equivalence Factor'!$L15</f>
        <v>8.3669597391385153</v>
      </c>
      <c r="AS15">
        <f>+sum_sheet!AR15*'Equivalence Factor'!$L15</f>
        <v>4.3467994412515969</v>
      </c>
      <c r="AT15">
        <f>+sum_sheet!AS15*'Equivalence Factor'!$L15</f>
        <v>8.7671402672632972</v>
      </c>
    </row>
    <row r="16" spans="1:46" x14ac:dyDescent="0.2">
      <c r="A16" s="3" t="s">
        <v>16</v>
      </c>
      <c r="B16" t="s">
        <v>330</v>
      </c>
      <c r="C16" s="3" t="s">
        <v>9</v>
      </c>
      <c r="D16" s="3" t="s">
        <v>30</v>
      </c>
      <c r="E16" s="3" t="s">
        <v>26</v>
      </c>
      <c r="F16" s="3">
        <v>1</v>
      </c>
      <c r="G16" s="3" t="s">
        <v>15</v>
      </c>
      <c r="H16" s="3" t="s">
        <v>14</v>
      </c>
      <c r="I16" s="3" t="s">
        <v>25</v>
      </c>
      <c r="J16" s="6" t="s">
        <v>293</v>
      </c>
      <c r="K16" s="3" t="s">
        <v>24</v>
      </c>
      <c r="L16" s="7" t="s">
        <v>12</v>
      </c>
      <c r="M16" s="4">
        <v>27</v>
      </c>
      <c r="O16">
        <f>+sum_sheet!N16*'Equivalence Factor'!$L16</f>
        <v>15.830165758184961</v>
      </c>
      <c r="P16">
        <f>+sum_sheet!O16*'Equivalence Factor'!$L16</f>
        <v>14.965600927558883</v>
      </c>
      <c r="Q16">
        <f>+sum_sheet!P16*'Equivalence Factor'!$L16</f>
        <v>14.384786621225771</v>
      </c>
      <c r="R16">
        <f>+sum_sheet!Q16*'Equivalence Factor'!$L16</f>
        <v>13.524714010228641</v>
      </c>
      <c r="S16">
        <f>+sum_sheet!R16*'Equivalence Factor'!$L16</f>
        <v>15.45868450304636</v>
      </c>
      <c r="T16">
        <f>+sum_sheet!S16*'Equivalence Factor'!$L16</f>
        <v>17.953371573578469</v>
      </c>
      <c r="U16">
        <f>+sum_sheet!T16*'Equivalence Factor'!$L16</f>
        <v>14.042521363586875</v>
      </c>
      <c r="V16">
        <f>+sum_sheet!U16*'Equivalence Factor'!$L16</f>
        <v>15.326015264143642</v>
      </c>
      <c r="W16">
        <f>+sum_sheet!V16*'Equivalence Factor'!$L16</f>
        <v>17.675176407533161</v>
      </c>
      <c r="X16">
        <f>+sum_sheet!W16*'Equivalence Factor'!$L16</f>
        <v>17.752552805082988</v>
      </c>
      <c r="Y16">
        <f>+sum_sheet!X16*'Equivalence Factor'!$L16</f>
        <v>16.72925137902098</v>
      </c>
      <c r="Z16">
        <f>+sum_sheet!Y16*'Equivalence Factor'!$L16</f>
        <v>13.409598212352893</v>
      </c>
      <c r="AA16">
        <f>+sum_sheet!Z16*'Equivalence Factor'!$L16</f>
        <v>17.649283282451641</v>
      </c>
      <c r="AB16">
        <f>+sum_sheet!AA16*'Equivalence Factor'!$L16</f>
        <v>12.940872043127115</v>
      </c>
      <c r="AC16">
        <f>+sum_sheet!AB16*'Equivalence Factor'!$L16</f>
        <v>13.393321183590439</v>
      </c>
      <c r="AD16">
        <f>+sum_sheet!AC16*'Equivalence Factor'!$L16</f>
        <v>15.56075439849428</v>
      </c>
      <c r="AE16">
        <f>+sum_sheet!AD16*'Equivalence Factor'!$L16</f>
        <v>10.777308399565046</v>
      </c>
      <c r="AF16">
        <f>+sum_sheet!AE16*'Equivalence Factor'!$L16</f>
        <v>12.289939209097152</v>
      </c>
      <c r="AG16">
        <f>+sum_sheet!AF16*'Equivalence Factor'!$L16</f>
        <v>12.94323170975593</v>
      </c>
      <c r="AH16">
        <f>+sum_sheet!AG16*'Equivalence Factor'!$L16</f>
        <v>12.160235633900651</v>
      </c>
      <c r="AI16">
        <f>+sum_sheet!AH16*'Equivalence Factor'!$L16</f>
        <v>14.692903493093816</v>
      </c>
      <c r="AJ16">
        <f>+sum_sheet!AI16*'Equivalence Factor'!$L16</f>
        <v>15.907856566777633</v>
      </c>
      <c r="AK16">
        <f>+sum_sheet!AJ16*'Equivalence Factor'!$L16</f>
        <v>17.433065630691882</v>
      </c>
      <c r="AL16">
        <f>+sum_sheet!AK16*'Equivalence Factor'!$L16</f>
        <v>14.49526546030622</v>
      </c>
      <c r="AM16">
        <f>+sum_sheet!AL16*'Equivalence Factor'!$L16</f>
        <v>14.460649152550964</v>
      </c>
      <c r="AN16">
        <f>+sum_sheet!AM16*'Equivalence Factor'!$L16</f>
        <v>18.64876440448468</v>
      </c>
      <c r="AO16">
        <f>+sum_sheet!AN16*'Equivalence Factor'!$L16</f>
        <v>18.028772200148723</v>
      </c>
      <c r="AP16">
        <f>+sum_sheet!AO16*'Equivalence Factor'!$L16</f>
        <v>15.193086875941217</v>
      </c>
      <c r="AQ16">
        <f>+sum_sheet!AP16*'Equivalence Factor'!$L16</f>
        <v>16.35036607120264</v>
      </c>
      <c r="AR16">
        <f>+sum_sheet!AQ16*'Equivalence Factor'!$L16</f>
        <v>18.627116169128183</v>
      </c>
      <c r="AS16">
        <f>+sum_sheet!AR16*'Equivalence Factor'!$L16</f>
        <v>19.334264021039452</v>
      </c>
      <c r="AT16">
        <f>+sum_sheet!AS16*'Equivalence Factor'!$L16</f>
        <v>17.23347623435804</v>
      </c>
    </row>
    <row r="17" spans="1:46" x14ac:dyDescent="0.2">
      <c r="A17" s="3" t="s">
        <v>16</v>
      </c>
      <c r="B17" t="s">
        <v>330</v>
      </c>
      <c r="C17" s="3" t="s">
        <v>9</v>
      </c>
      <c r="D17" s="3" t="s">
        <v>29</v>
      </c>
      <c r="E17" s="3" t="s">
        <v>26</v>
      </c>
      <c r="F17" s="3">
        <v>1</v>
      </c>
      <c r="G17" s="3" t="s">
        <v>15</v>
      </c>
      <c r="H17" s="3" t="s">
        <v>14</v>
      </c>
      <c r="I17" s="3" t="s">
        <v>25</v>
      </c>
      <c r="J17" s="6" t="s">
        <v>293</v>
      </c>
      <c r="K17" s="3" t="s">
        <v>24</v>
      </c>
      <c r="L17" s="7" t="s">
        <v>28</v>
      </c>
      <c r="M17" s="4">
        <v>26</v>
      </c>
      <c r="O17">
        <f>+sum_sheet!N17*'Equivalence Factor'!$L17</f>
        <v>0.18089779216438406</v>
      </c>
      <c r="P17">
        <f>+sum_sheet!O17*'Equivalence Factor'!$L17</f>
        <v>3.8795898868215627E-2</v>
      </c>
      <c r="Q17">
        <f>+sum_sheet!P17*'Equivalence Factor'!$L17</f>
        <v>1.1893910579921105</v>
      </c>
      <c r="R17">
        <f>+sum_sheet!Q17*'Equivalence Factor'!$L17</f>
        <v>3.8014258046024434</v>
      </c>
      <c r="S17">
        <f>+sum_sheet!R17*'Equivalence Factor'!$L17</f>
        <v>2.5269755061956092</v>
      </c>
      <c r="T17">
        <f>+sum_sheet!S17*'Equivalence Factor'!$L17</f>
        <v>1.9023131197379968</v>
      </c>
      <c r="U17">
        <f>+sum_sheet!T17*'Equivalence Factor'!$L17</f>
        <v>2.0478674528617939</v>
      </c>
      <c r="V17">
        <f>+sum_sheet!U17*'Equivalence Factor'!$L17</f>
        <v>2.5135369730198853</v>
      </c>
      <c r="W17">
        <f>+sum_sheet!V17*'Equivalence Factor'!$L17</f>
        <v>2.4929449762918696</v>
      </c>
      <c r="X17">
        <f>+sum_sheet!W17*'Equivalence Factor'!$L17</f>
        <v>2.1102168352717343</v>
      </c>
      <c r="Y17">
        <f>+sum_sheet!X17*'Equivalence Factor'!$L17</f>
        <v>2.1873280917851976</v>
      </c>
      <c r="Z17">
        <f>+sum_sheet!Y17*'Equivalence Factor'!$L17</f>
        <v>3.4337184019931186</v>
      </c>
      <c r="AA17">
        <f>+sum_sheet!Z17*'Equivalence Factor'!$L17</f>
        <v>2.0356468888733668</v>
      </c>
      <c r="AB17">
        <f>+sum_sheet!AA17*'Equivalence Factor'!$L17</f>
        <v>2.9464161038729646</v>
      </c>
      <c r="AC17">
        <f>+sum_sheet!AB17*'Equivalence Factor'!$L17</f>
        <v>3.446016633477218</v>
      </c>
      <c r="AD17">
        <f>+sum_sheet!AC17*'Equivalence Factor'!$L17</f>
        <v>3.4304582785399926</v>
      </c>
      <c r="AE17">
        <f>+sum_sheet!AD17*'Equivalence Factor'!$L17</f>
        <v>2.1358556311720642</v>
      </c>
      <c r="AF17">
        <f>+sum_sheet!AE17*'Equivalence Factor'!$L17</f>
        <v>2.3633240336651671</v>
      </c>
      <c r="AG17">
        <f>+sum_sheet!AF17*'Equivalence Factor'!$L17</f>
        <v>2.2393507587183392</v>
      </c>
      <c r="AH17">
        <f>+sum_sheet!AG17*'Equivalence Factor'!$L17</f>
        <v>1.7153464165595369</v>
      </c>
      <c r="AI17">
        <f>+sum_sheet!AH17*'Equivalence Factor'!$L17</f>
        <v>3.2582994941035337</v>
      </c>
      <c r="AJ17">
        <f>+sum_sheet!AI17*'Equivalence Factor'!$L17</f>
        <v>4.9029083896080072</v>
      </c>
      <c r="AK17">
        <f>+sum_sheet!AJ17*'Equivalence Factor'!$L17</f>
        <v>3.1670703841777135</v>
      </c>
      <c r="AL17">
        <f>+sum_sheet!AK17*'Equivalence Factor'!$L17</f>
        <v>4.9619162215128245</v>
      </c>
      <c r="AM17">
        <f>+sum_sheet!AL17*'Equivalence Factor'!$L17</f>
        <v>5.240864418258429</v>
      </c>
      <c r="AN17">
        <f>+sum_sheet!AM17*'Equivalence Factor'!$L17</f>
        <v>4.407067390713884</v>
      </c>
      <c r="AO17">
        <f>+sum_sheet!AN17*'Equivalence Factor'!$L17</f>
        <v>5.1857247190755205</v>
      </c>
      <c r="AP17">
        <f>+sum_sheet!AO17*'Equivalence Factor'!$L17</f>
        <v>5.0263259110083514</v>
      </c>
      <c r="AQ17">
        <f>+sum_sheet!AP17*'Equivalence Factor'!$L17</f>
        <v>4.7630532635822789</v>
      </c>
      <c r="AR17">
        <f>+sum_sheet!AQ17*'Equivalence Factor'!$L17</f>
        <v>3.6731525038724953</v>
      </c>
      <c r="AS17">
        <f>+sum_sheet!AR17*'Equivalence Factor'!$L17</f>
        <v>3.866590859941454</v>
      </c>
      <c r="AT17">
        <f>+sum_sheet!AS17*'Equivalence Factor'!$L17</f>
        <v>4.4027863074030096</v>
      </c>
    </row>
    <row r="18" spans="1:46" x14ac:dyDescent="0.2">
      <c r="A18" s="3" t="s">
        <v>16</v>
      </c>
      <c r="B18" t="s">
        <v>330</v>
      </c>
      <c r="C18" s="3" t="s">
        <v>9</v>
      </c>
      <c r="D18" s="3" t="s">
        <v>111</v>
      </c>
      <c r="E18" s="3" t="s">
        <v>110</v>
      </c>
      <c r="F18" s="3">
        <v>1</v>
      </c>
      <c r="G18" s="3" t="s">
        <v>18</v>
      </c>
      <c r="H18" s="3" t="s">
        <v>14</v>
      </c>
      <c r="I18" s="3" t="s">
        <v>112</v>
      </c>
      <c r="J18" s="6" t="s">
        <v>294</v>
      </c>
      <c r="K18" s="3" t="s">
        <v>113</v>
      </c>
      <c r="L18" s="7" t="s">
        <v>317</v>
      </c>
      <c r="M18" s="4">
        <v>11</v>
      </c>
      <c r="O18">
        <f>+sum_sheet!N18*'Equivalence Factor'!$L18</f>
        <v>6.1184837198030717</v>
      </c>
      <c r="P18">
        <f>+sum_sheet!O18*'Equivalence Factor'!$L18</f>
        <v>6.199141437636392</v>
      </c>
      <c r="Q18">
        <f>+sum_sheet!P18*'Equivalence Factor'!$L18</f>
        <v>6.479280711540973</v>
      </c>
      <c r="R18">
        <f>+sum_sheet!Q18*'Equivalence Factor'!$L18</f>
        <v>5.9669368125381954</v>
      </c>
      <c r="S18">
        <f>+sum_sheet!R18*'Equivalence Factor'!$L18</f>
        <v>6.4276458270982948</v>
      </c>
      <c r="T18">
        <f>+sum_sheet!S18*'Equivalence Factor'!$L18</f>
        <v>6.0550106777901025</v>
      </c>
      <c r="U18">
        <f>+sum_sheet!T18*'Equivalence Factor'!$L18</f>
        <v>6.1632771473852204</v>
      </c>
      <c r="V18">
        <f>+sum_sheet!U18*'Equivalence Factor'!$L18</f>
        <v>5.8758721077948222</v>
      </c>
      <c r="W18">
        <f>+sum_sheet!V18*'Equivalence Factor'!$L18</f>
        <v>5.9950876102487083</v>
      </c>
      <c r="X18">
        <f>+sum_sheet!W18*'Equivalence Factor'!$L18</f>
        <v>5.4817652643058068</v>
      </c>
      <c r="Y18">
        <f>+sum_sheet!X18*'Equivalence Factor'!$L18</f>
        <v>4.7640374624256303</v>
      </c>
      <c r="Z18">
        <f>+sum_sheet!Y18*'Equivalence Factor'!$L18</f>
        <v>3.6541032322491915</v>
      </c>
      <c r="AA18">
        <f>+sum_sheet!Z18*'Equivalence Factor'!$L18</f>
        <v>3.9961071776359574</v>
      </c>
      <c r="AB18">
        <f>+sum_sheet!AA18*'Equivalence Factor'!$L18</f>
        <v>3.2552973060047239</v>
      </c>
      <c r="AC18">
        <f>+sum_sheet!AB18*'Equivalence Factor'!$L18</f>
        <v>3.5917227808803953</v>
      </c>
      <c r="AD18">
        <f>+sum_sheet!AC18*'Equivalence Factor'!$L18</f>
        <v>3.2443241293517753</v>
      </c>
      <c r="AE18">
        <f>+sum_sheet!AD18*'Equivalence Factor'!$L18</f>
        <v>3.1939279046526865</v>
      </c>
      <c r="AF18">
        <f>+sum_sheet!AE18*'Equivalence Factor'!$L18</f>
        <v>3.4341062556072002</v>
      </c>
      <c r="AG18">
        <f>+sum_sheet!AF18*'Equivalence Factor'!$L18</f>
        <v>3.2499008607029976</v>
      </c>
      <c r="AH18">
        <f>+sum_sheet!AG18*'Equivalence Factor'!$L18</f>
        <v>3.180329354064285</v>
      </c>
      <c r="AI18">
        <f>+sum_sheet!AH18*'Equivalence Factor'!$L18</f>
        <v>3.4193433051305235</v>
      </c>
      <c r="AJ18">
        <f>+sum_sheet!AI18*'Equivalence Factor'!$L18</f>
        <v>3.9880845043237247</v>
      </c>
      <c r="AK18">
        <f>+sum_sheet!AJ18*'Equivalence Factor'!$L18</f>
        <v>3.0871759378215495</v>
      </c>
      <c r="AL18">
        <f>+sum_sheet!AK18*'Equivalence Factor'!$L18</f>
        <v>3.1670498751929643</v>
      </c>
      <c r="AM18">
        <f>+sum_sheet!AL18*'Equivalence Factor'!$L18</f>
        <v>3.200563938825193</v>
      </c>
      <c r="AN18">
        <f>+sum_sheet!AM18*'Equivalence Factor'!$L18</f>
        <v>3.2823957006955351</v>
      </c>
      <c r="AO18">
        <f>+sum_sheet!AN18*'Equivalence Factor'!$L18</f>
        <v>4.3482563044875961</v>
      </c>
      <c r="AP18">
        <f>+sum_sheet!AO18*'Equivalence Factor'!$L18</f>
        <v>4.6401689529838235</v>
      </c>
      <c r="AQ18">
        <f>+sum_sheet!AP18*'Equivalence Factor'!$L18</f>
        <v>5.014769894144659</v>
      </c>
      <c r="AR18">
        <f>+sum_sheet!AQ18*'Equivalence Factor'!$L18</f>
        <v>5.165855410862255</v>
      </c>
      <c r="AS18">
        <f>+sum_sheet!AR18*'Equivalence Factor'!$L18</f>
        <v>5.4766354545481111</v>
      </c>
      <c r="AT18">
        <f>+sum_sheet!AS18*'Equivalence Factor'!$L18</f>
        <v>4.9621202452285456</v>
      </c>
    </row>
    <row r="19" spans="1:46" x14ac:dyDescent="0.2">
      <c r="A19" s="3" t="s">
        <v>16</v>
      </c>
      <c r="B19" t="s">
        <v>330</v>
      </c>
      <c r="C19" s="3" t="s">
        <v>17</v>
      </c>
      <c r="D19" s="3" t="s">
        <v>36</v>
      </c>
      <c r="E19" s="3" t="s">
        <v>35</v>
      </c>
      <c r="F19" s="3">
        <v>1</v>
      </c>
      <c r="G19" s="3" t="s">
        <v>15</v>
      </c>
      <c r="H19" s="3" t="s">
        <v>14</v>
      </c>
      <c r="I19" s="3" t="s">
        <v>34</v>
      </c>
      <c r="J19" s="6" t="s">
        <v>293</v>
      </c>
      <c r="K19" s="3" t="s">
        <v>24</v>
      </c>
      <c r="L19" s="7" t="s">
        <v>33</v>
      </c>
      <c r="M19" s="4">
        <v>15</v>
      </c>
      <c r="O19">
        <f>+sum_sheet!N28*'Equivalence Factor'!$L28</f>
        <v>1.3526086559999999E-2</v>
      </c>
      <c r="P19">
        <f>+sum_sheet!O28*'Equivalence Factor'!$L28</f>
        <v>1.3266356039999998E-2</v>
      </c>
      <c r="Q19">
        <f>+sum_sheet!P28*'Equivalence Factor'!$L28</f>
        <v>1.4162851920000002E-2</v>
      </c>
      <c r="R19">
        <f>+sum_sheet!Q28*'Equivalence Factor'!$L28</f>
        <v>1.5973337800000001E-2</v>
      </c>
      <c r="S19">
        <f>+sum_sheet!R28*'Equivalence Factor'!$L28</f>
        <v>1.6045410919999999E-2</v>
      </c>
      <c r="T19">
        <f>+sum_sheet!S28*'Equivalence Factor'!$L28</f>
        <v>1.6438265759999997E-2</v>
      </c>
      <c r="U19">
        <f>+sum_sheet!T28*'Equivalence Factor'!$L28</f>
        <v>1.4494260759999997E-2</v>
      </c>
      <c r="V19">
        <f>+sum_sheet!U28*'Equivalence Factor'!$L28</f>
        <v>1.619819992E-2</v>
      </c>
      <c r="W19">
        <f>+sum_sheet!V28*'Equivalence Factor'!$L28</f>
        <v>1.7356602479999997E-2</v>
      </c>
      <c r="X19">
        <f>+sum_sheet!W28*'Equivalence Factor'!$L28</f>
        <v>1.7084700919999998E-2</v>
      </c>
      <c r="Y19">
        <f>+sum_sheet!X28*'Equivalence Factor'!$L28</f>
        <v>1.7388613479999999E-2</v>
      </c>
      <c r="Z19">
        <f>+sum_sheet!Y28*'Equivalence Factor'!$L28</f>
        <v>1.6642661559999997E-2</v>
      </c>
      <c r="AA19">
        <f>+sum_sheet!Z28*'Equivalence Factor'!$L28</f>
        <v>1.7007398519999998E-2</v>
      </c>
      <c r="AB19">
        <f>+sum_sheet!AA28*'Equivalence Factor'!$L28</f>
        <v>1.6034755800000002E-2</v>
      </c>
      <c r="AC19">
        <f>+sum_sheet!AB28*'Equivalence Factor'!$L28</f>
        <v>1.713225052E-2</v>
      </c>
      <c r="AD19">
        <f>+sum_sheet!AC28*'Equivalence Factor'!$L28</f>
        <v>1.8136362999999999E-2</v>
      </c>
      <c r="AE19">
        <f>+sum_sheet!AD28*'Equivalence Factor'!$L28</f>
        <v>1.4605146919999999E-2</v>
      </c>
      <c r="AF19">
        <f>+sum_sheet!AE28*'Equivalence Factor'!$L28</f>
        <v>1.5134805279999997E-2</v>
      </c>
      <c r="AG19">
        <f>+sum_sheet!AF28*'Equivalence Factor'!$L28</f>
        <v>1.5714459600000001E-2</v>
      </c>
      <c r="AH19">
        <f>+sum_sheet!AG28*'Equivalence Factor'!$L28</f>
        <v>1.45915644E-2</v>
      </c>
      <c r="AI19">
        <f>+sum_sheet!AH28*'Equivalence Factor'!$L28</f>
        <v>1.7337187559999998E-2</v>
      </c>
      <c r="AJ19">
        <f>+sum_sheet!AI28*'Equivalence Factor'!$L28</f>
        <v>1.95508208E-2</v>
      </c>
      <c r="AK19">
        <f>+sum_sheet!AJ28*'Equivalence Factor'!$L28</f>
        <v>1.7981999839999999E-2</v>
      </c>
      <c r="AL19">
        <f>+sum_sheet!AK28*'Equivalence Factor'!$L28</f>
        <v>1.7696658559999995E-2</v>
      </c>
      <c r="AM19">
        <f>+sum_sheet!AL28*'Equivalence Factor'!$L28</f>
        <v>1.7395192639999998E-2</v>
      </c>
      <c r="AN19">
        <f>+sum_sheet!AM28*'Equivalence Factor'!$L28</f>
        <v>1.7802953839999996E-2</v>
      </c>
      <c r="AO19">
        <f>+sum_sheet!AN28*'Equivalence Factor'!$L28</f>
        <v>1.7167454919999998E-2</v>
      </c>
      <c r="AP19">
        <f>+sum_sheet!AO28*'Equivalence Factor'!$L28</f>
        <v>1.5668178679999999E-2</v>
      </c>
      <c r="AQ19">
        <f>+sum_sheet!AP28*'Equivalence Factor'!$L28</f>
        <v>1.590242276E-2</v>
      </c>
      <c r="AR19">
        <f>+sum_sheet!AQ28*'Equivalence Factor'!$L28</f>
        <v>1.4853976200000001E-2</v>
      </c>
      <c r="AS19">
        <f>+sum_sheet!AR28*'Equivalence Factor'!$L28</f>
        <v>1.41833538E-2</v>
      </c>
      <c r="AT19">
        <f>+sum_sheet!AS28*'Equivalence Factor'!$L28</f>
        <v>1.4862404479999999E-2</v>
      </c>
    </row>
    <row r="20" spans="1:46" x14ac:dyDescent="0.2">
      <c r="A20" s="3" t="s">
        <v>16</v>
      </c>
      <c r="B20" t="s">
        <v>330</v>
      </c>
      <c r="C20" s="3" t="s">
        <v>3</v>
      </c>
      <c r="D20" s="3" t="s">
        <v>39</v>
      </c>
      <c r="E20" s="3" t="s">
        <v>38</v>
      </c>
      <c r="F20" s="3">
        <v>1</v>
      </c>
      <c r="G20" s="3" t="s">
        <v>15</v>
      </c>
      <c r="H20" s="3" t="s">
        <v>14</v>
      </c>
      <c r="I20" s="3" t="s">
        <v>34</v>
      </c>
      <c r="J20" s="6" t="s">
        <v>293</v>
      </c>
      <c r="K20" s="3" t="s">
        <v>24</v>
      </c>
      <c r="L20" s="7" t="s">
        <v>37</v>
      </c>
      <c r="M20" s="4">
        <v>14</v>
      </c>
      <c r="O20">
        <f>+sum_sheet!N29*'Equivalence Factor'!$L29</f>
        <v>8.4145185000000011E-2</v>
      </c>
      <c r="P20">
        <f>+sum_sheet!O29*'Equivalence Factor'!$L29</f>
        <v>8.7894707100000011E-2</v>
      </c>
      <c r="Q20">
        <f>+sum_sheet!P29*'Equivalence Factor'!$L29</f>
        <v>9.280019895000001E-2</v>
      </c>
      <c r="R20">
        <f>+sum_sheet!Q29*'Equivalence Factor'!$L29</f>
        <v>9.67136262E-2</v>
      </c>
      <c r="S20">
        <f>+sum_sheet!R29*'Equivalence Factor'!$L29</f>
        <v>9.8227934249999982E-2</v>
      </c>
      <c r="T20">
        <f>+sum_sheet!S29*'Equivalence Factor'!$L29</f>
        <v>9.4153447949999983E-2</v>
      </c>
      <c r="U20">
        <f>+sum_sheet!T29*'Equivalence Factor'!$L29</f>
        <v>9.0447801900000013E-2</v>
      </c>
      <c r="V20">
        <f>+sum_sheet!U29*'Equivalence Factor'!$L29</f>
        <v>0.10029725564999999</v>
      </c>
      <c r="W20">
        <f>+sum_sheet!V29*'Equivalence Factor'!$L29</f>
        <v>0.10125401430000001</v>
      </c>
      <c r="X20">
        <f>+sum_sheet!W29*'Equivalence Factor'!$L29</f>
        <v>0.10157450265000001</v>
      </c>
      <c r="Y20">
        <f>+sum_sheet!X29*'Equivalence Factor'!$L29</f>
        <v>0.11131736279999999</v>
      </c>
      <c r="Z20">
        <f>+sum_sheet!Y29*'Equivalence Factor'!$L29</f>
        <v>0.10677398549999999</v>
      </c>
      <c r="AA20">
        <f>+sum_sheet!Z29*'Equivalence Factor'!$L29</f>
        <v>0.10288198349999998</v>
      </c>
      <c r="AB20">
        <f>+sum_sheet!AA29*'Equivalence Factor'!$L29</f>
        <v>0.10821404849999999</v>
      </c>
      <c r="AC20">
        <f>+sum_sheet!AB29*'Equivalence Factor'!$L29</f>
        <v>0.11344696110000001</v>
      </c>
      <c r="AD20">
        <f>+sum_sheet!AC29*'Equivalence Factor'!$L29</f>
        <v>0.11331739199999998</v>
      </c>
      <c r="AE20">
        <f>+sum_sheet!AD29*'Equivalence Factor'!$L29</f>
        <v>0.11300486159999996</v>
      </c>
      <c r="AF20">
        <f>+sum_sheet!AE29*'Equivalence Factor'!$L29</f>
        <v>0.10795352699999999</v>
      </c>
      <c r="AG20">
        <f>+sum_sheet!AF29*'Equivalence Factor'!$L29</f>
        <v>0.11308631729999997</v>
      </c>
      <c r="AH20">
        <f>+sum_sheet!AG29*'Equivalence Factor'!$L29</f>
        <v>0.1084128303</v>
      </c>
      <c r="AI20">
        <f>+sum_sheet!AH29*'Equivalence Factor'!$L29</f>
        <v>0.11476805235</v>
      </c>
      <c r="AJ20">
        <f>+sum_sheet!AI29*'Equivalence Factor'!$L29</f>
        <v>0.12160712729999999</v>
      </c>
      <c r="AK20">
        <f>+sum_sheet!AJ29*'Equivalence Factor'!$L29</f>
        <v>0.10679980709999998</v>
      </c>
      <c r="AL20">
        <f>+sum_sheet!AK29*'Equivalence Factor'!$L29</f>
        <v>0.1040009142</v>
      </c>
      <c r="AM20">
        <f>+sum_sheet!AL29*'Equivalence Factor'!$L29</f>
        <v>9.6991844399999985E-2</v>
      </c>
      <c r="AN20">
        <f>+sum_sheet!AM29*'Equivalence Factor'!$L29</f>
        <v>8.3072475599999987E-2</v>
      </c>
      <c r="AO20">
        <f>+sum_sheet!AN29*'Equivalence Factor'!$L29</f>
        <v>7.043967914999999E-2</v>
      </c>
      <c r="AP20">
        <f>+sum_sheet!AO29*'Equivalence Factor'!$L29</f>
        <v>6.9733099050000011E-2</v>
      </c>
      <c r="AQ20">
        <f>+sum_sheet!AP29*'Equivalence Factor'!$L29</f>
        <v>6.8003719650000002E-2</v>
      </c>
      <c r="AR20">
        <f>+sum_sheet!AQ29*'Equivalence Factor'!$L29</f>
        <v>4.8905784449999996E-2</v>
      </c>
      <c r="AS20">
        <f>+sum_sheet!AR29*'Equivalence Factor'!$L29</f>
        <v>3.2776840349999996E-2</v>
      </c>
      <c r="AT20">
        <f>+sum_sheet!AS29*'Equivalence Factor'!$L29</f>
        <v>5.0993979149999986E-2</v>
      </c>
    </row>
    <row r="21" spans="1:46" x14ac:dyDescent="0.2">
      <c r="A21" s="3" t="s">
        <v>4</v>
      </c>
      <c r="B21" t="s">
        <v>331</v>
      </c>
      <c r="C21" s="3" t="s">
        <v>17</v>
      </c>
      <c r="D21" s="3" t="s">
        <v>318</v>
      </c>
      <c r="E21" s="3" t="s">
        <v>88</v>
      </c>
      <c r="F21" s="3">
        <v>1</v>
      </c>
      <c r="G21" s="3" t="s">
        <v>18</v>
      </c>
      <c r="H21" s="3" t="s">
        <v>17</v>
      </c>
      <c r="I21" s="3" t="s">
        <v>21</v>
      </c>
      <c r="J21" s="8" t="s">
        <v>296</v>
      </c>
      <c r="K21" s="3" t="s">
        <v>20</v>
      </c>
      <c r="L21" s="3"/>
      <c r="M21" s="4">
        <v>23</v>
      </c>
      <c r="O21">
        <f>+sum_sheet!N30*'Equivalence Factor'!$L30</f>
        <v>3.4563416579999999E-2</v>
      </c>
      <c r="P21">
        <f>+sum_sheet!O30*'Equivalence Factor'!$L30</f>
        <v>3.4183718030000004E-2</v>
      </c>
      <c r="Q21">
        <f>+sum_sheet!P30*'Equivalence Factor'!$L30</f>
        <v>3.5149237199999989E-2</v>
      </c>
      <c r="R21">
        <f>+sum_sheet!Q30*'Equivalence Factor'!$L30</f>
        <v>3.3999293020000002E-2</v>
      </c>
      <c r="S21">
        <f>+sum_sheet!R30*'Equivalence Factor'!$L30</f>
        <v>3.7568459390000003E-2</v>
      </c>
      <c r="T21">
        <f>+sum_sheet!S30*'Equivalence Factor'!$L30</f>
        <v>4.0345683070000006E-2</v>
      </c>
      <c r="U21">
        <f>+sum_sheet!T30*'Equivalence Factor'!$L30</f>
        <v>3.4943115130000008E-2</v>
      </c>
      <c r="V21">
        <f>+sum_sheet!U30*'Equivalence Factor'!$L30</f>
        <v>3.8458038850000001E-2</v>
      </c>
      <c r="W21">
        <f>+sum_sheet!V30*'Equivalence Factor'!$L30</f>
        <v>3.4888872480000006E-2</v>
      </c>
      <c r="X21">
        <f>+sum_sheet!W30*'Equivalence Factor'!$L30</f>
        <v>3.2035709089999996E-2</v>
      </c>
      <c r="Y21">
        <f>+sum_sheet!X30*'Equivalence Factor'!$L30</f>
        <v>4.0009378640000003E-2</v>
      </c>
      <c r="Z21">
        <f>+sum_sheet!Y30*'Equivalence Factor'!$L30</f>
        <v>4.0303764350079999E-2</v>
      </c>
      <c r="AA21">
        <f>+sum_sheet!Z30*'Equivalence Factor'!$L30</f>
        <v>4.1251632961769993E-2</v>
      </c>
      <c r="AB21">
        <f>+sum_sheet!AA30*'Equivalence Factor'!$L30</f>
        <v>4.3699072178299991E-2</v>
      </c>
      <c r="AC21">
        <f>+sum_sheet!AB30*'Equivalence Factor'!$L30</f>
        <v>4.1283950732640004E-2</v>
      </c>
      <c r="AD21">
        <f>+sum_sheet!AC30*'Equivalence Factor'!$L30</f>
        <v>4.5140321085860004E-2</v>
      </c>
      <c r="AE21">
        <f>+sum_sheet!AD30*'Equivalence Factor'!$L30</f>
        <v>4.4631025996479994E-2</v>
      </c>
      <c r="AF21">
        <f>+sum_sheet!AE30*'Equivalence Factor'!$L30</f>
        <v>3.3918862018579993E-2</v>
      </c>
      <c r="AG21">
        <f>+sum_sheet!AF30*'Equivalence Factor'!$L30</f>
        <v>4.1693536982789998E-2</v>
      </c>
      <c r="AH21">
        <f>+sum_sheet!AG30*'Equivalence Factor'!$L30</f>
        <v>3.9677587198480004E-2</v>
      </c>
      <c r="AI21">
        <f>+sum_sheet!AH30*'Equivalence Factor'!$L30</f>
        <v>4.2792482223260014E-2</v>
      </c>
      <c r="AJ21">
        <f>+sum_sheet!AI30*'Equivalence Factor'!$L30</f>
        <v>4.1926313890999996E-2</v>
      </c>
      <c r="AK21">
        <f>+sum_sheet!AJ30*'Equivalence Factor'!$L30</f>
        <v>4.3080912090369995E-2</v>
      </c>
      <c r="AL21">
        <f>+sum_sheet!AK30*'Equivalence Factor'!$L30</f>
        <v>3.0481884986630004E-2</v>
      </c>
      <c r="AM21">
        <f>+sum_sheet!AL30*'Equivalence Factor'!$L30</f>
        <v>2.8259205614639998E-2</v>
      </c>
      <c r="AN21">
        <f>+sum_sheet!AM30*'Equivalence Factor'!$L30</f>
        <v>3.7305143869840005E-2</v>
      </c>
      <c r="AO21">
        <f>+sum_sheet!AN30*'Equivalence Factor'!$L30</f>
        <v>3.0350455045680007E-2</v>
      </c>
      <c r="AP21">
        <f>+sum_sheet!AO30*'Equivalence Factor'!$L30</f>
        <v>2.2549396456509996E-2</v>
      </c>
      <c r="AQ21">
        <f>+sum_sheet!AP30*'Equivalence Factor'!$L30</f>
        <v>6.9931638560501205E-2</v>
      </c>
      <c r="AR21">
        <f>+sum_sheet!AQ30*'Equivalence Factor'!$L30</f>
        <v>1.9363993876570004E-2</v>
      </c>
      <c r="AS21">
        <f>+sum_sheet!AR30*'Equivalence Factor'!$L30</f>
        <v>7.3444548099999988E-3</v>
      </c>
      <c r="AT21">
        <f>+sum_sheet!AS30*'Equivalence Factor'!$L30</f>
        <v>3.2545590000000002E-3</v>
      </c>
    </row>
    <row r="22" spans="1:46" x14ac:dyDescent="0.2">
      <c r="A22" s="3" t="s">
        <v>4</v>
      </c>
      <c r="B22" t="s">
        <v>331</v>
      </c>
      <c r="C22" s="3" t="s">
        <v>17</v>
      </c>
      <c r="D22" s="3" t="s">
        <v>319</v>
      </c>
      <c r="E22" s="3" t="s">
        <v>87</v>
      </c>
      <c r="F22" s="3">
        <v>1</v>
      </c>
      <c r="G22" s="3" t="s">
        <v>18</v>
      </c>
      <c r="H22" s="3" t="s">
        <v>17</v>
      </c>
      <c r="I22" s="3" t="s">
        <v>13</v>
      </c>
      <c r="J22" s="6" t="s">
        <v>293</v>
      </c>
      <c r="K22" s="3" t="s">
        <v>19</v>
      </c>
      <c r="L22" s="3"/>
      <c r="M22" s="4">
        <v>23</v>
      </c>
      <c r="O22">
        <f>+sum_sheet!N31*'Equivalence Factor'!$L31</f>
        <v>2.5334030019537375</v>
      </c>
      <c r="P22">
        <f>+sum_sheet!O31*'Equivalence Factor'!$L31</f>
        <v>2.5173069758535589</v>
      </c>
      <c r="Q22">
        <f>+sum_sheet!P31*'Equivalence Factor'!$L31</f>
        <v>2.4780635564590128</v>
      </c>
      <c r="R22">
        <f>+sum_sheet!Q31*'Equivalence Factor'!$L31</f>
        <v>2.5115319349477163</v>
      </c>
      <c r="S22">
        <f>+sum_sheet!R31*'Equivalence Factor'!$L31</f>
        <v>2.3533827228627207</v>
      </c>
      <c r="T22">
        <f>+sum_sheet!S31*'Equivalence Factor'!$L31</f>
        <v>2.5141250957752606</v>
      </c>
      <c r="U22">
        <f>+sum_sheet!T31*'Equivalence Factor'!$L31</f>
        <v>2.8262153822019327</v>
      </c>
      <c r="V22">
        <f>+sum_sheet!U31*'Equivalence Factor'!$L31</f>
        <v>2.8956898973356235</v>
      </c>
      <c r="W22">
        <f>+sum_sheet!V31*'Equivalence Factor'!$L31</f>
        <v>2.928198349503726</v>
      </c>
      <c r="X22">
        <f>+sum_sheet!W31*'Equivalence Factor'!$L31</f>
        <v>2.7114766693332286</v>
      </c>
      <c r="Y22">
        <f>+sum_sheet!X31*'Equivalence Factor'!$L31</f>
        <v>2.431261096710017</v>
      </c>
      <c r="Z22">
        <f>+sum_sheet!Y31*'Equivalence Factor'!$L31</f>
        <v>2.4312365857248142</v>
      </c>
      <c r="AA22">
        <f>+sum_sheet!Z31*'Equivalence Factor'!$L31</f>
        <v>2.2032725708799994</v>
      </c>
      <c r="AB22">
        <f>+sum_sheet!AA31*'Equivalence Factor'!$L31</f>
        <v>2.1861511861142482</v>
      </c>
      <c r="AC22">
        <f>+sum_sheet!AB31*'Equivalence Factor'!$L31</f>
        <v>2.1152249976721174</v>
      </c>
      <c r="AD22">
        <f>+sum_sheet!AC31*'Equivalence Factor'!$L31</f>
        <v>1.9150897351793645</v>
      </c>
      <c r="AE22">
        <f>+sum_sheet!AD31*'Equivalence Factor'!$L31</f>
        <v>2.0142972089126632</v>
      </c>
      <c r="AF22">
        <f>+sum_sheet!AE31*'Equivalence Factor'!$L31</f>
        <v>2.1052710861622832</v>
      </c>
      <c r="AG22">
        <f>+sum_sheet!AF31*'Equivalence Factor'!$L31</f>
        <v>2.060630075488135</v>
      </c>
      <c r="AH22">
        <f>+sum_sheet!AG31*'Equivalence Factor'!$L31</f>
        <v>1.8097317583906536</v>
      </c>
      <c r="AI22">
        <f>+sum_sheet!AH31*'Equivalence Factor'!$L31</f>
        <v>1.7484505514430597</v>
      </c>
      <c r="AJ22">
        <f>+sum_sheet!AI31*'Equivalence Factor'!$L31</f>
        <v>1.7823555347129267</v>
      </c>
      <c r="AK22">
        <f>+sum_sheet!AJ31*'Equivalence Factor'!$L31</f>
        <v>1.5640727946916635</v>
      </c>
      <c r="AL22">
        <f>+sum_sheet!AK31*'Equivalence Factor'!$L31</f>
        <v>1.7102030044156946</v>
      </c>
      <c r="AM22">
        <f>+sum_sheet!AL31*'Equivalence Factor'!$L31</f>
        <v>1.4996555539285323</v>
      </c>
      <c r="AN22">
        <f>+sum_sheet!AM31*'Equivalence Factor'!$L31</f>
        <v>1.3200097098241177</v>
      </c>
      <c r="AO22">
        <f>+sum_sheet!AN31*'Equivalence Factor'!$L31</f>
        <v>0.94052828737339622</v>
      </c>
      <c r="AP22">
        <f>+sum_sheet!AO31*'Equivalence Factor'!$L31</f>
        <v>1.1129064536028914</v>
      </c>
      <c r="AQ22">
        <f>+sum_sheet!AP31*'Equivalence Factor'!$L31</f>
        <v>0.90436035545998117</v>
      </c>
      <c r="AR22">
        <f>+sum_sheet!AQ31*'Equivalence Factor'!$L31</f>
        <v>0.81789437770118012</v>
      </c>
      <c r="AS22">
        <f>+sum_sheet!AR31*'Equivalence Factor'!$L31</f>
        <v>0.66700780081393507</v>
      </c>
      <c r="AT22">
        <f>+sum_sheet!AS31*'Equivalence Factor'!$L31</f>
        <v>0.63309567187916949</v>
      </c>
    </row>
    <row r="23" spans="1:46" x14ac:dyDescent="0.2">
      <c r="A23" s="3" t="s">
        <v>4</v>
      </c>
      <c r="B23" t="s">
        <v>331</v>
      </c>
      <c r="C23" s="3" t="s">
        <v>17</v>
      </c>
      <c r="D23" s="3" t="s">
        <v>320</v>
      </c>
      <c r="E23" s="3" t="s">
        <v>87</v>
      </c>
      <c r="F23" s="3">
        <v>1</v>
      </c>
      <c r="G23" s="3" t="s">
        <v>18</v>
      </c>
      <c r="H23" s="3" t="s">
        <v>17</v>
      </c>
      <c r="I23" s="3" t="s">
        <v>13</v>
      </c>
      <c r="J23" s="6" t="s">
        <v>297</v>
      </c>
      <c r="K23" s="3" t="s">
        <v>12</v>
      </c>
      <c r="L23" s="3"/>
      <c r="M23" s="4">
        <v>19</v>
      </c>
      <c r="O23">
        <f>+sum_sheet!N32*'Equivalence Factor'!$L32</f>
        <v>5.0552154800000002</v>
      </c>
      <c r="P23">
        <f>+sum_sheet!O32*'Equivalence Factor'!$L32</f>
        <v>4.5880192400000004</v>
      </c>
      <c r="Q23">
        <f>+sum_sheet!P32*'Equivalence Factor'!$L32</f>
        <v>4.1919628799999993</v>
      </c>
      <c r="R23">
        <f>+sum_sheet!Q32*'Equivalence Factor'!$L32</f>
        <v>4.9129536400000005</v>
      </c>
      <c r="S23">
        <f>+sum_sheet!R32*'Equivalence Factor'!$L32</f>
        <v>4.1615912800000006</v>
      </c>
      <c r="T23">
        <f>+sum_sheet!S32*'Equivalence Factor'!$L32</f>
        <v>4.6298624400000001</v>
      </c>
      <c r="U23">
        <f>+sum_sheet!T32*'Equivalence Factor'!$L32</f>
        <v>5.0834462</v>
      </c>
      <c r="V23">
        <f>+sum_sheet!U32*'Equivalence Factor'!$L32</f>
        <v>4.9714408799999994</v>
      </c>
      <c r="W23">
        <f>+sum_sheet!V32*'Equivalence Factor'!$L32</f>
        <v>6.1150916399999993</v>
      </c>
      <c r="X23">
        <f>+sum_sheet!W32*'Equivalence Factor'!$L32</f>
        <v>5.5560621199999991</v>
      </c>
      <c r="Y23">
        <f>+sum_sheet!X32*'Equivalence Factor'!$L32</f>
        <v>5.222448</v>
      </c>
      <c r="Z23">
        <f>+sum_sheet!Y32*'Equivalence Factor'!$L32</f>
        <v>5.4340859999999997</v>
      </c>
      <c r="AA23">
        <f>+sum_sheet!Z32*'Equivalence Factor'!$L32</f>
        <v>5.6833559999999999</v>
      </c>
      <c r="AB23">
        <f>+sum_sheet!AA32*'Equivalence Factor'!$L32</f>
        <v>5.6298460399999994</v>
      </c>
      <c r="AC23">
        <f>+sum_sheet!AB32*'Equivalence Factor'!$L32</f>
        <v>6.8911522399999994</v>
      </c>
      <c r="AD23">
        <f>+sum_sheet!AC32*'Equivalence Factor'!$L32</f>
        <v>6.26099768</v>
      </c>
      <c r="AE23">
        <f>+sum_sheet!AD32*'Equivalence Factor'!$L32</f>
        <v>5.8026732399999998</v>
      </c>
      <c r="AF23">
        <f>+sum_sheet!AE32*'Equivalence Factor'!$L32</f>
        <v>6.0306721999999997</v>
      </c>
      <c r="AG23">
        <f>+sum_sheet!AF32*'Equivalence Factor'!$L32</f>
        <v>6.3856326799999996</v>
      </c>
      <c r="AH23">
        <f>+sum_sheet!AG32*'Equivalence Factor'!$L32</f>
        <v>6.2683095999999994</v>
      </c>
      <c r="AI23">
        <f>+sum_sheet!AH32*'Equivalence Factor'!$L32</f>
        <v>14.655275319796207</v>
      </c>
      <c r="AJ23">
        <f>+sum_sheet!AI32*'Equivalence Factor'!$L32</f>
        <v>14.733935570339327</v>
      </c>
      <c r="AK23">
        <f>+sum_sheet!AJ32*'Equivalence Factor'!$L32</f>
        <v>14.498535138677067</v>
      </c>
      <c r="AL23">
        <f>+sum_sheet!AK32*'Equivalence Factor'!$L32</f>
        <v>14.250982723544324</v>
      </c>
      <c r="AM23">
        <f>+sum_sheet!AL32*'Equivalence Factor'!$L32</f>
        <v>14.142107058113785</v>
      </c>
      <c r="AN23">
        <f>+sum_sheet!AM32*'Equivalence Factor'!$L32</f>
        <v>14.048279416612246</v>
      </c>
      <c r="AO23">
        <f>+sum_sheet!AN32*'Equivalence Factor'!$L32</f>
        <v>13.688491346160967</v>
      </c>
      <c r="AP23">
        <f>+sum_sheet!AO32*'Equivalence Factor'!$L32</f>
        <v>13.445610186618808</v>
      </c>
      <c r="AQ23">
        <f>+sum_sheet!AP32*'Equivalence Factor'!$L32</f>
        <v>12.976163986180092</v>
      </c>
      <c r="AR23">
        <f>+sum_sheet!AQ32*'Equivalence Factor'!$L32</f>
        <v>12.812347030660902</v>
      </c>
      <c r="AS23">
        <f>+sum_sheet!AR32*'Equivalence Factor'!$L32</f>
        <v>12.425332803387679</v>
      </c>
      <c r="AT23">
        <f>+sum_sheet!AS32*'Equivalence Factor'!$L32</f>
        <v>12.4577536511625</v>
      </c>
    </row>
    <row r="24" spans="1:46" x14ac:dyDescent="0.2">
      <c r="A24" s="3" t="s">
        <v>4</v>
      </c>
      <c r="B24" t="s">
        <v>331</v>
      </c>
      <c r="C24" s="3" t="s">
        <v>9</v>
      </c>
      <c r="D24" s="3" t="s">
        <v>10</v>
      </c>
      <c r="E24" s="3" t="s">
        <v>91</v>
      </c>
      <c r="F24" s="3">
        <v>1</v>
      </c>
      <c r="G24" s="3" t="s">
        <v>15</v>
      </c>
      <c r="H24" s="3" t="s">
        <v>14</v>
      </c>
      <c r="I24" s="3" t="s">
        <v>13</v>
      </c>
      <c r="J24" s="6" t="s">
        <v>293</v>
      </c>
      <c r="K24" s="3" t="s">
        <v>12</v>
      </c>
      <c r="L24" s="3"/>
      <c r="M24" s="4">
        <v>27</v>
      </c>
      <c r="O24">
        <f>+sum_sheet!N33*'Equivalence Factor'!$L33</f>
        <v>2.6938547480000005E-2</v>
      </c>
      <c r="P24">
        <f>+sum_sheet!O33*'Equivalence Factor'!$L33</f>
        <v>3.0454824832000002E-2</v>
      </c>
      <c r="Q24">
        <f>+sum_sheet!P33*'Equivalence Factor'!$L33</f>
        <v>3.1189952159999999E-2</v>
      </c>
      <c r="R24">
        <f>+sum_sheet!Q33*'Equivalence Factor'!$L33</f>
        <v>3.2432963359999997E-2</v>
      </c>
      <c r="S24">
        <f>+sum_sheet!R33*'Equivalence Factor'!$L33</f>
        <v>3.45800026E-2</v>
      </c>
      <c r="T24">
        <f>+sum_sheet!S33*'Equivalence Factor'!$L33</f>
        <v>3.4998555984E-2</v>
      </c>
      <c r="U24">
        <f>+sum_sheet!T33*'Equivalence Factor'!$L33</f>
        <v>3.4753717792000004E-2</v>
      </c>
      <c r="V24">
        <f>+sum_sheet!U33*'Equivalence Factor'!$L33</f>
        <v>3.294679968E-2</v>
      </c>
      <c r="W24">
        <f>+sum_sheet!V33*'Equivalence Factor'!$L33</f>
        <v>2.9365920760000001E-2</v>
      </c>
      <c r="X24">
        <f>+sum_sheet!W33*'Equivalence Factor'!$L33</f>
        <v>2.6890402679999998E-2</v>
      </c>
      <c r="Y24">
        <f>+sum_sheet!X33*'Equivalence Factor'!$L33</f>
        <v>2.5533769752000002E-2</v>
      </c>
      <c r="Z24">
        <f>+sum_sheet!Y33*'Equivalence Factor'!$L33</f>
        <v>2.3262910839999998E-2</v>
      </c>
      <c r="AA24">
        <f>+sum_sheet!Z33*'Equivalence Factor'!$L33</f>
        <v>2.2013903424000003E-2</v>
      </c>
      <c r="AB24">
        <f>+sum_sheet!AA33*'Equivalence Factor'!$L33</f>
        <v>2.0275963679999998E-2</v>
      </c>
      <c r="AC24">
        <f>+sum_sheet!AB33*'Equivalence Factor'!$L33</f>
        <v>1.9231309056000002E-2</v>
      </c>
      <c r="AD24">
        <f>+sum_sheet!AC33*'Equivalence Factor'!$L33</f>
        <v>1.8264911615999999E-2</v>
      </c>
      <c r="AE24">
        <f>+sum_sheet!AD33*'Equivalence Factor'!$L33</f>
        <v>1.7620777960000004E-2</v>
      </c>
      <c r="AF24">
        <f>+sum_sheet!AE33*'Equivalence Factor'!$L33</f>
        <v>1.7508337968000002E-2</v>
      </c>
      <c r="AG24">
        <f>+sum_sheet!AF33*'Equivalence Factor'!$L33</f>
        <v>1.7958010400000002E-2</v>
      </c>
      <c r="AH24">
        <f>+sum_sheet!AG33*'Equivalence Factor'!$L33</f>
        <v>1.7010564504E-2</v>
      </c>
      <c r="AI24">
        <f>+sum_sheet!AH33*'Equivalence Factor'!$L33</f>
        <v>1.5522496272000001E-2</v>
      </c>
      <c r="AJ24">
        <f>+sum_sheet!AI33*'Equivalence Factor'!$L33</f>
        <v>1.5344798192000001E-2</v>
      </c>
      <c r="AK24">
        <f>+sum_sheet!AJ33*'Equivalence Factor'!$L33</f>
        <v>0</v>
      </c>
      <c r="AL24">
        <f>+sum_sheet!AK33*'Equivalence Factor'!$L33</f>
        <v>0</v>
      </c>
      <c r="AM24">
        <f>+sum_sheet!AL33*'Equivalence Factor'!$L33</f>
        <v>0</v>
      </c>
      <c r="AN24">
        <f>+sum_sheet!AM33*'Equivalence Factor'!$L33</f>
        <v>0</v>
      </c>
      <c r="AO24">
        <f>+sum_sheet!AN33*'Equivalence Factor'!$L33</f>
        <v>0</v>
      </c>
      <c r="AP24">
        <f>+sum_sheet!AO33*'Equivalence Factor'!$L33</f>
        <v>0</v>
      </c>
      <c r="AQ24">
        <f>+sum_sheet!AP33*'Equivalence Factor'!$L33</f>
        <v>0</v>
      </c>
      <c r="AR24">
        <f>+sum_sheet!AQ33*'Equivalence Factor'!$L33</f>
        <v>0</v>
      </c>
      <c r="AS24">
        <f>+sum_sheet!AR33*'Equivalence Factor'!$L33</f>
        <v>0</v>
      </c>
      <c r="AT24">
        <f>+sum_sheet!AS33*'Equivalence Factor'!$L33</f>
        <v>0</v>
      </c>
    </row>
    <row r="25" spans="1:46" x14ac:dyDescent="0.2">
      <c r="A25" s="3" t="s">
        <v>99</v>
      </c>
      <c r="B25" t="s">
        <v>341</v>
      </c>
      <c r="C25" s="3" t="s">
        <v>9</v>
      </c>
      <c r="D25" s="3" t="s">
        <v>321</v>
      </c>
      <c r="E25" s="3" t="s">
        <v>117</v>
      </c>
      <c r="F25" s="3">
        <v>1</v>
      </c>
      <c r="G25" s="3" t="s">
        <v>15</v>
      </c>
      <c r="H25" s="3" t="s">
        <v>14</v>
      </c>
      <c r="I25" s="3" t="s">
        <v>25</v>
      </c>
      <c r="J25" s="6" t="s">
        <v>293</v>
      </c>
      <c r="K25" s="3" t="s">
        <v>114</v>
      </c>
      <c r="L25" s="3" t="s">
        <v>115</v>
      </c>
      <c r="M25" s="4" t="s">
        <v>322</v>
      </c>
      <c r="O25">
        <f>+sum_sheet!N34*'Equivalence Factor'!$L34</f>
        <v>108.04245434485566</v>
      </c>
      <c r="P25">
        <f>+sum_sheet!O34*'Equivalence Factor'!$L34</f>
        <v>105.17364851969239</v>
      </c>
      <c r="Q25">
        <f>+sum_sheet!P34*'Equivalence Factor'!$L34</f>
        <v>111.65306291141984</v>
      </c>
      <c r="R25">
        <f>+sum_sheet!Q34*'Equivalence Factor'!$L34</f>
        <v>113.17478557171432</v>
      </c>
      <c r="S25">
        <f>+sum_sheet!R34*'Equivalence Factor'!$L34</f>
        <v>115.58416110218243</v>
      </c>
      <c r="T25">
        <f>+sum_sheet!S34*'Equivalence Factor'!$L34</f>
        <v>115.08509333826336</v>
      </c>
      <c r="U25">
        <f>+sum_sheet!T34*'Equivalence Factor'!$L34</f>
        <v>119.53250818536662</v>
      </c>
      <c r="V25">
        <f>+sum_sheet!U34*'Equivalence Factor'!$L34</f>
        <v>126.84874193934752</v>
      </c>
      <c r="W25">
        <f>+sum_sheet!V34*'Equivalence Factor'!$L34</f>
        <v>112.58668494535561</v>
      </c>
      <c r="X25">
        <f>+sum_sheet!W34*'Equivalence Factor'!$L34</f>
        <v>111.82998568583496</v>
      </c>
      <c r="Y25">
        <f>+sum_sheet!X34*'Equivalence Factor'!$L34</f>
        <v>118.63880147274998</v>
      </c>
      <c r="Z25">
        <f>+sum_sheet!Y34*'Equivalence Factor'!$L34</f>
        <v>105.8318127606431</v>
      </c>
      <c r="AA25">
        <f>+sum_sheet!Z34*'Equivalence Factor'!$L34</f>
        <v>109.57081189910201</v>
      </c>
      <c r="AB25">
        <f>+sum_sheet!AA34*'Equivalence Factor'!$L34</f>
        <v>108.24071075520698</v>
      </c>
      <c r="AC25">
        <f>+sum_sheet!AB34*'Equivalence Factor'!$L34</f>
        <v>115.11097427518135</v>
      </c>
      <c r="AD25">
        <f>+sum_sheet!AC34*'Equivalence Factor'!$L34</f>
        <v>108.92127846764748</v>
      </c>
      <c r="AE25">
        <f>+sum_sheet!AD34*'Equivalence Factor'!$L34</f>
        <v>118.80915566558009</v>
      </c>
      <c r="AF25">
        <f>+sum_sheet!AE34*'Equivalence Factor'!$L34</f>
        <v>115.88472914239827</v>
      </c>
      <c r="AG25">
        <f>+sum_sheet!AF34*'Equivalence Factor'!$L34</f>
        <v>112.21489081069288</v>
      </c>
      <c r="AH25">
        <f>+sum_sheet!AG34*'Equivalence Factor'!$L34</f>
        <v>104.91423724973356</v>
      </c>
      <c r="AI25">
        <f>+sum_sheet!AH34*'Equivalence Factor'!$L34</f>
        <v>111.62635195427708</v>
      </c>
      <c r="AJ25">
        <f>+sum_sheet!AI34*'Equivalence Factor'!$L34</f>
        <v>112.11835150328912</v>
      </c>
      <c r="AK25">
        <f>+sum_sheet!AJ34*'Equivalence Factor'!$L34</f>
        <v>112.15582000808067</v>
      </c>
      <c r="AL25">
        <f>+sum_sheet!AK34*'Equivalence Factor'!$L34</f>
        <v>109.30861006239761</v>
      </c>
      <c r="AM25">
        <f>+sum_sheet!AL34*'Equivalence Factor'!$L34</f>
        <v>107.11733432777152</v>
      </c>
      <c r="AN25">
        <f>+sum_sheet!AM34*'Equivalence Factor'!$L34</f>
        <v>106.77188070445214</v>
      </c>
      <c r="AO25">
        <f>+sum_sheet!AN34*'Equivalence Factor'!$L34</f>
        <v>111.83271507699524</v>
      </c>
      <c r="AP25">
        <f>+sum_sheet!AO34*'Equivalence Factor'!$L34</f>
        <v>116.67316643426398</v>
      </c>
      <c r="AQ25">
        <f>+sum_sheet!AP34*'Equivalence Factor'!$L34</f>
        <v>121.08807280863093</v>
      </c>
      <c r="AR25">
        <f>+sum_sheet!AQ34*'Equivalence Factor'!$L34</f>
        <v>122.62423220650183</v>
      </c>
      <c r="AS25">
        <f>+sum_sheet!AR34*'Equivalence Factor'!$L34</f>
        <v>117.36393428043542</v>
      </c>
      <c r="AT25">
        <f>+sum_sheet!AS34*'Equivalence Factor'!$L34</f>
        <v>116.70887226807886</v>
      </c>
    </row>
    <row r="26" spans="1:46" x14ac:dyDescent="0.2">
      <c r="A26" s="3" t="s">
        <v>99</v>
      </c>
      <c r="B26" t="s">
        <v>341</v>
      </c>
      <c r="C26" s="3" t="s">
        <v>17</v>
      </c>
      <c r="D26" s="3" t="s">
        <v>323</v>
      </c>
      <c r="E26" s="3" t="s">
        <v>100</v>
      </c>
      <c r="F26" s="3">
        <v>1</v>
      </c>
      <c r="G26" s="3" t="s">
        <v>15</v>
      </c>
      <c r="H26" s="3" t="s">
        <v>14</v>
      </c>
      <c r="I26" s="3" t="s">
        <v>34</v>
      </c>
      <c r="J26" s="6" t="s">
        <v>293</v>
      </c>
      <c r="K26" s="3"/>
      <c r="L26" s="7" t="s">
        <v>33</v>
      </c>
      <c r="M26" s="4">
        <v>12</v>
      </c>
      <c r="O26">
        <f>+sum_sheet!N35*'Equivalence Factor'!$L35</f>
        <v>0.15368455471449047</v>
      </c>
      <c r="P26">
        <f>+sum_sheet!O35*'Equivalence Factor'!$L35</f>
        <v>0.15102397028320438</v>
      </c>
      <c r="Q26">
        <f>+sum_sheet!P35*'Equivalence Factor'!$L35</f>
        <v>0.15961178258082123</v>
      </c>
      <c r="R26">
        <f>+sum_sheet!Q35*'Equivalence Factor'!$L35</f>
        <v>0.15998004314161796</v>
      </c>
      <c r="S26">
        <f>+sum_sheet!R35*'Equivalence Factor'!$L35</f>
        <v>0.17092586698720427</v>
      </c>
      <c r="T26">
        <f>+sum_sheet!S35*'Equivalence Factor'!$L35</f>
        <v>0.17332045180823583</v>
      </c>
      <c r="U26">
        <f>+sum_sheet!T35*'Equivalence Factor'!$L35</f>
        <v>0.17627556530130398</v>
      </c>
      <c r="V26">
        <f>+sum_sheet!U35*'Equivalence Factor'!$L35</f>
        <v>0.18089714356558662</v>
      </c>
      <c r="W26">
        <f>+sum_sheet!V35*'Equivalence Factor'!$L35</f>
        <v>0.16775612745312371</v>
      </c>
      <c r="X26">
        <f>+sum_sheet!W35*'Equivalence Factor'!$L35</f>
        <v>0.16887171098600465</v>
      </c>
      <c r="Y26">
        <f>+sum_sheet!X35*'Equivalence Factor'!$L35</f>
        <v>0.17470272250195498</v>
      </c>
      <c r="Z26">
        <f>+sum_sheet!Y35*'Equivalence Factor'!$L35</f>
        <v>0.16337602406228471</v>
      </c>
      <c r="AA26">
        <f>+sum_sheet!Z35*'Equivalence Factor'!$L35</f>
        <v>0.17000796036704915</v>
      </c>
      <c r="AB26">
        <f>+sum_sheet!AA35*'Equivalence Factor'!$L35</f>
        <v>0.1735742356837813</v>
      </c>
      <c r="AC26">
        <f>+sum_sheet!AB35*'Equivalence Factor'!$L35</f>
        <v>0.20797205707887648</v>
      </c>
      <c r="AD26">
        <f>+sum_sheet!AC35*'Equivalence Factor'!$L35</f>
        <v>0.17950135233253209</v>
      </c>
      <c r="AE26">
        <f>+sum_sheet!AD35*'Equivalence Factor'!$L35</f>
        <v>0.18467160423072618</v>
      </c>
      <c r="AF26">
        <f>+sum_sheet!AE35*'Equivalence Factor'!$L35</f>
        <v>0.17601398614399175</v>
      </c>
      <c r="AG26">
        <f>+sum_sheet!AF35*'Equivalence Factor'!$L35</f>
        <v>0.13244267256773287</v>
      </c>
      <c r="AH26">
        <f>+sum_sheet!AG35*'Equivalence Factor'!$L35</f>
        <v>0.12648243636949813</v>
      </c>
      <c r="AI26">
        <f>+sum_sheet!AH35*'Equivalence Factor'!$L35</f>
        <v>0.13849834087941104</v>
      </c>
      <c r="AJ26">
        <f>+sum_sheet!AI35*'Equivalence Factor'!$L35</f>
        <v>0.1391536043636096</v>
      </c>
      <c r="AK26">
        <f>+sum_sheet!AJ35*'Equivalence Factor'!$L35</f>
        <v>0.14236598148281843</v>
      </c>
      <c r="AL26">
        <f>+sum_sheet!AK35*'Equivalence Factor'!$L35</f>
        <v>0.14769697349490873</v>
      </c>
      <c r="AM26">
        <f>+sum_sheet!AL35*'Equivalence Factor'!$L35</f>
        <v>0.16207444412793362</v>
      </c>
      <c r="AN26">
        <f>+sum_sheet!AM35*'Equivalence Factor'!$L35</f>
        <v>0.15098910787271411</v>
      </c>
      <c r="AO26">
        <f>+sum_sheet!AN35*'Equivalence Factor'!$L35</f>
        <v>0.16885882322184784</v>
      </c>
      <c r="AP26">
        <f>+sum_sheet!AO35*'Equivalence Factor'!$L35</f>
        <v>0.1605732774310128</v>
      </c>
      <c r="AQ26">
        <f>+sum_sheet!AP35*'Equivalence Factor'!$L35</f>
        <v>0.15875683340084562</v>
      </c>
      <c r="AR26">
        <f>+sum_sheet!AQ35*'Equivalence Factor'!$L35</f>
        <v>0.15075495728326971</v>
      </c>
      <c r="AS26">
        <f>+sum_sheet!AR35*'Equivalence Factor'!$L35</f>
        <v>0.14467756717038385</v>
      </c>
      <c r="AT26">
        <f>+sum_sheet!AS35*'Equivalence Factor'!$L35</f>
        <v>0.1420722530316906</v>
      </c>
    </row>
    <row r="27" spans="1:46" x14ac:dyDescent="0.2">
      <c r="A27" s="3" t="s">
        <v>99</v>
      </c>
      <c r="B27" t="s">
        <v>341</v>
      </c>
      <c r="C27" s="3" t="s">
        <v>3</v>
      </c>
      <c r="D27" s="3" t="s">
        <v>324</v>
      </c>
      <c r="E27" s="3" t="s">
        <v>106</v>
      </c>
      <c r="F27" s="3">
        <v>1</v>
      </c>
      <c r="G27" s="3" t="s">
        <v>15</v>
      </c>
      <c r="H27" s="3" t="s">
        <v>14</v>
      </c>
      <c r="I27" s="3" t="s">
        <v>34</v>
      </c>
      <c r="J27" s="6" t="s">
        <v>293</v>
      </c>
      <c r="K27" s="3"/>
      <c r="L27" s="3" t="s">
        <v>37</v>
      </c>
      <c r="M27" s="4">
        <v>11</v>
      </c>
      <c r="O27">
        <f>+sum_sheet!N36*'Equivalence Factor'!$L36</f>
        <v>0.20585406814171028</v>
      </c>
      <c r="P27">
        <f>+sum_sheet!O36*'Equivalence Factor'!$L36</f>
        <v>0.20149103960027739</v>
      </c>
      <c r="Q27">
        <f>+sum_sheet!P36*'Equivalence Factor'!$L36</f>
        <v>0.21525444592189594</v>
      </c>
      <c r="R27">
        <f>+sum_sheet!Q36*'Equivalence Factor'!$L36</f>
        <v>0.21609989396508741</v>
      </c>
      <c r="S27">
        <f>+sum_sheet!R36*'Equivalence Factor'!$L36</f>
        <v>0.23174922376317256</v>
      </c>
      <c r="T27">
        <f>+sum_sheet!S36*'Equivalence Factor'!$L36</f>
        <v>0.23376084221742008</v>
      </c>
      <c r="U27">
        <f>+sum_sheet!T36*'Equivalence Factor'!$L36</f>
        <v>0.24038891866051934</v>
      </c>
      <c r="V27">
        <f>+sum_sheet!U36*'Equivalence Factor'!$L36</f>
        <v>0.24461984911756274</v>
      </c>
      <c r="W27">
        <f>+sum_sheet!V36*'Equivalence Factor'!$L36</f>
        <v>0.22679043344182193</v>
      </c>
      <c r="X27">
        <f>+sum_sheet!W36*'Equivalence Factor'!$L36</f>
        <v>0.22949070339583114</v>
      </c>
      <c r="Y27">
        <f>+sum_sheet!X36*'Equivalence Factor'!$L36</f>
        <v>0.23921254636974965</v>
      </c>
      <c r="Z27">
        <f>+sum_sheet!Y36*'Equivalence Factor'!$L36</f>
        <v>0.22603404382635414</v>
      </c>
      <c r="AA27">
        <f>+sum_sheet!Z36*'Equivalence Factor'!$L36</f>
        <v>0.23553973553666155</v>
      </c>
      <c r="AB27">
        <f>+sum_sheet!AA36*'Equivalence Factor'!$L36</f>
        <v>0.24057822692421715</v>
      </c>
      <c r="AC27">
        <f>+sum_sheet!AB36*'Equivalence Factor'!$L36</f>
        <v>0.28545815716009337</v>
      </c>
      <c r="AD27">
        <f>+sum_sheet!AC36*'Equivalence Factor'!$L36</f>
        <v>0.24783548371316355</v>
      </c>
      <c r="AE27">
        <f>+sum_sheet!AD36*'Equivalence Factor'!$L36</f>
        <v>0.25681593387768037</v>
      </c>
      <c r="AF27">
        <f>+sum_sheet!AE36*'Equivalence Factor'!$L36</f>
        <v>0.23987224387759687</v>
      </c>
      <c r="AG27">
        <f>+sum_sheet!AF36*'Equivalence Factor'!$L36</f>
        <v>0.18238955904003129</v>
      </c>
      <c r="AH27">
        <f>+sum_sheet!AG36*'Equivalence Factor'!$L36</f>
        <v>0.17516015981170865</v>
      </c>
      <c r="AI27">
        <f>+sum_sheet!AH36*'Equivalence Factor'!$L36</f>
        <v>0.19158521278005189</v>
      </c>
      <c r="AJ27">
        <f>+sum_sheet!AI36*'Equivalence Factor'!$L36</f>
        <v>0.19267614298186533</v>
      </c>
      <c r="AK27">
        <f>+sum_sheet!AJ36*'Equivalence Factor'!$L36</f>
        <v>0.19736298151545287</v>
      </c>
      <c r="AL27">
        <f>+sum_sheet!AK36*'Equivalence Factor'!$L36</f>
        <v>0.20243499363064252</v>
      </c>
      <c r="AM27">
        <f>+sum_sheet!AL36*'Equivalence Factor'!$L36</f>
        <v>0.21748047300939066</v>
      </c>
      <c r="AN27">
        <f>+sum_sheet!AM36*'Equivalence Factor'!$L36</f>
        <v>0.20421348263067965</v>
      </c>
      <c r="AO27">
        <f>+sum_sheet!AN36*'Equivalence Factor'!$L36</f>
        <v>0.22779769980729572</v>
      </c>
      <c r="AP27">
        <f>+sum_sheet!AO36*'Equivalence Factor'!$L36</f>
        <v>0.21740112683551741</v>
      </c>
      <c r="AQ27">
        <f>+sum_sheet!AP36*'Equivalence Factor'!$L36</f>
        <v>0.2142850175810643</v>
      </c>
      <c r="AR27">
        <f>+sum_sheet!AQ36*'Equivalence Factor'!$L36</f>
        <v>0.20398417508055033</v>
      </c>
      <c r="AS27">
        <f>+sum_sheet!AR36*'Equivalence Factor'!$L36</f>
        <v>0.19435855068195737</v>
      </c>
      <c r="AT27">
        <f>+sum_sheet!AS36*'Equivalence Factor'!$L36</f>
        <v>0.19167710150055681</v>
      </c>
    </row>
    <row r="28" spans="1:46" x14ac:dyDescent="0.2">
      <c r="A28" s="3" t="s">
        <v>235</v>
      </c>
      <c r="B28" t="s">
        <v>332</v>
      </c>
      <c r="C28" s="3" t="s">
        <v>9</v>
      </c>
      <c r="D28" s="3" t="s">
        <v>241</v>
      </c>
      <c r="E28" s="3" t="s">
        <v>247</v>
      </c>
      <c r="F28" s="3">
        <v>1</v>
      </c>
      <c r="G28" s="3" t="s">
        <v>15</v>
      </c>
      <c r="H28" s="3" t="s">
        <v>14</v>
      </c>
      <c r="I28" s="3" t="s">
        <v>237</v>
      </c>
      <c r="J28" s="3" t="s">
        <v>298</v>
      </c>
      <c r="K28" s="7" t="s">
        <v>238</v>
      </c>
      <c r="L28" s="9" t="s">
        <v>246</v>
      </c>
      <c r="M28" s="4">
        <v>27</v>
      </c>
      <c r="O28">
        <f>+sum_sheet!N37*'Equivalence Factor'!$L37</f>
        <v>-10.860612022571027</v>
      </c>
      <c r="P28">
        <f>+sum_sheet!O37*'Equivalence Factor'!$L37</f>
        <v>-10.860612022571027</v>
      </c>
      <c r="Q28">
        <f>+sum_sheet!P37*'Equivalence Factor'!$L37</f>
        <v>-10.860612022571027</v>
      </c>
      <c r="R28">
        <f>+sum_sheet!Q37*'Equivalence Factor'!$L37</f>
        <v>-10.155088121324328</v>
      </c>
      <c r="S28">
        <f>+sum_sheet!R37*'Equivalence Factor'!$L37</f>
        <v>-10.155088121324328</v>
      </c>
      <c r="T28">
        <f>+sum_sheet!S37*'Equivalence Factor'!$L37</f>
        <v>-10.155088121324328</v>
      </c>
      <c r="U28">
        <f>+sum_sheet!T37*'Equivalence Factor'!$L37</f>
        <v>-10.155088121324328</v>
      </c>
      <c r="V28">
        <f>+sum_sheet!U37*'Equivalence Factor'!$L37</f>
        <v>-10.155088121324328</v>
      </c>
      <c r="W28">
        <f>+sum_sheet!V37*'Equivalence Factor'!$L37</f>
        <v>-10.155088121324328</v>
      </c>
      <c r="X28">
        <f>+sum_sheet!W37*'Equivalence Factor'!$L37</f>
        <v>-10.155088121324328</v>
      </c>
      <c r="Y28">
        <f>+sum_sheet!X37*'Equivalence Factor'!$L37</f>
        <v>-10.155088121324328</v>
      </c>
      <c r="Z28">
        <f>+sum_sheet!Y37*'Equivalence Factor'!$L37</f>
        <v>-10.155088121324328</v>
      </c>
      <c r="AA28">
        <f>+sum_sheet!Z37*'Equivalence Factor'!$L37</f>
        <v>-10.155088121324328</v>
      </c>
      <c r="AB28">
        <f>+sum_sheet!AA37*'Equivalence Factor'!$L37</f>
        <v>-10.155088121324328</v>
      </c>
      <c r="AC28">
        <f>+sum_sheet!AB37*'Equivalence Factor'!$L37</f>
        <v>-10.155088121324328</v>
      </c>
      <c r="AD28">
        <f>+sum_sheet!AC37*'Equivalence Factor'!$L37</f>
        <v>-10.155088121324328</v>
      </c>
      <c r="AE28">
        <f>+sum_sheet!AD37*'Equivalence Factor'!$L37</f>
        <v>-10.155088121324328</v>
      </c>
      <c r="AF28">
        <f>+sum_sheet!AE37*'Equivalence Factor'!$L37</f>
        <v>-10.155088121324328</v>
      </c>
      <c r="AG28">
        <f>+sum_sheet!AF37*'Equivalence Factor'!$L37</f>
        <v>-10.155088121324328</v>
      </c>
      <c r="AH28">
        <f>+sum_sheet!AG37*'Equivalence Factor'!$L37</f>
        <v>-10.155088121324328</v>
      </c>
      <c r="AI28">
        <f>+sum_sheet!AH37*'Equivalence Factor'!$L37</f>
        <v>-10.155088121324328</v>
      </c>
      <c r="AJ28">
        <f>+sum_sheet!AI37*'Equivalence Factor'!$L37</f>
        <v>-10.155088121324328</v>
      </c>
      <c r="AK28">
        <f>+sum_sheet!AJ37*'Equivalence Factor'!$L37</f>
        <v>-10.155088121324328</v>
      </c>
      <c r="AL28">
        <f>+sum_sheet!AK37*'Equivalence Factor'!$L37</f>
        <v>-10.155088121324328</v>
      </c>
      <c r="AM28">
        <f>+sum_sheet!AL37*'Equivalence Factor'!$L37</f>
        <v>-10.155088121324328</v>
      </c>
      <c r="AN28">
        <f>+sum_sheet!AM37*'Equivalence Factor'!$L37</f>
        <v>-10.155088121324328</v>
      </c>
      <c r="AO28">
        <f>+sum_sheet!AN37*'Equivalence Factor'!$L37</f>
        <v>-10.155088121324328</v>
      </c>
      <c r="AP28">
        <f>+sum_sheet!AO37*'Equivalence Factor'!$L37</f>
        <v>-10.155088121324328</v>
      </c>
      <c r="AQ28">
        <f>+sum_sheet!AP37*'Equivalence Factor'!$L37</f>
        <v>-10.155088121324328</v>
      </c>
      <c r="AR28">
        <f>+sum_sheet!AQ37*'Equivalence Factor'!$L37</f>
        <v>-10.155088121324328</v>
      </c>
      <c r="AS28">
        <f>+sum_sheet!AR37*'Equivalence Factor'!$L37</f>
        <v>-10.155088121324328</v>
      </c>
      <c r="AT28">
        <f>+sum_sheet!AS37*'Equivalence Factor'!$L37</f>
        <v>-10.155088121324328</v>
      </c>
    </row>
    <row r="29" spans="1:46" x14ac:dyDescent="0.2">
      <c r="A29" s="3" t="s">
        <v>235</v>
      </c>
      <c r="B29" t="s">
        <v>332</v>
      </c>
      <c r="C29" s="3" t="s">
        <v>9</v>
      </c>
      <c r="D29" s="3" t="s">
        <v>234</v>
      </c>
      <c r="E29" s="3" t="s">
        <v>236</v>
      </c>
      <c r="F29" s="3">
        <v>1</v>
      </c>
      <c r="G29" s="3" t="s">
        <v>15</v>
      </c>
      <c r="H29" s="3" t="s">
        <v>14</v>
      </c>
      <c r="I29" s="3" t="s">
        <v>237</v>
      </c>
      <c r="J29" s="3" t="s">
        <v>298</v>
      </c>
      <c r="K29" s="7" t="s">
        <v>238</v>
      </c>
      <c r="L29" s="3" t="s">
        <v>239</v>
      </c>
      <c r="M29" s="4" t="s">
        <v>240</v>
      </c>
      <c r="O29">
        <f>+sum_sheet!N38*'Equivalence Factor'!$L38</f>
        <v>-17.580000000000002</v>
      </c>
      <c r="P29">
        <f>+sum_sheet!O38*'Equivalence Factor'!$L38</f>
        <v>-17.510000000000002</v>
      </c>
      <c r="Q29">
        <f>+sum_sheet!P38*'Equivalence Factor'!$L38</f>
        <v>-17.46</v>
      </c>
      <c r="R29">
        <f>+sum_sheet!Q38*'Equivalence Factor'!$L38</f>
        <v>-17.39</v>
      </c>
      <c r="S29">
        <f>+sum_sheet!R38*'Equivalence Factor'!$L38</f>
        <v>-17.34</v>
      </c>
      <c r="T29">
        <f>+sum_sheet!S38*'Equivalence Factor'!$L38</f>
        <v>-17.28</v>
      </c>
      <c r="U29">
        <f>+sum_sheet!T38*'Equivalence Factor'!$L38</f>
        <v>-17.22</v>
      </c>
      <c r="V29">
        <f>+sum_sheet!U38*'Equivalence Factor'!$L38</f>
        <v>-17.149999999999999</v>
      </c>
      <c r="W29">
        <f>+sum_sheet!V38*'Equivalence Factor'!$L38</f>
        <v>-17.09</v>
      </c>
      <c r="X29">
        <f>+sum_sheet!W38*'Equivalence Factor'!$L38</f>
        <v>-17.510000000000002</v>
      </c>
      <c r="Y29">
        <f>+sum_sheet!X38*'Equivalence Factor'!$L38</f>
        <v>-17.939999999999998</v>
      </c>
      <c r="Z29">
        <f>+sum_sheet!Y38*'Equivalence Factor'!$L38</f>
        <v>-18.36</v>
      </c>
      <c r="AA29">
        <f>+sum_sheet!Z38*'Equivalence Factor'!$L38</f>
        <v>-18.79</v>
      </c>
      <c r="AB29">
        <f>+sum_sheet!AA38*'Equivalence Factor'!$L38</f>
        <v>-19.220000000000002</v>
      </c>
      <c r="AC29">
        <f>+sum_sheet!AB38*'Equivalence Factor'!$L38</f>
        <v>-19.649999999999999</v>
      </c>
      <c r="AD29">
        <f>+sum_sheet!AC38*'Equivalence Factor'!$L38</f>
        <v>-20.060000000000002</v>
      </c>
      <c r="AE29">
        <f>+sum_sheet!AD38*'Equivalence Factor'!$L38</f>
        <v>-20.48</v>
      </c>
      <c r="AF29">
        <f>+sum_sheet!AE38*'Equivalence Factor'!$L38</f>
        <v>-21.130000000000003</v>
      </c>
      <c r="AG29">
        <f>+sum_sheet!AF38*'Equivalence Factor'!$L38</f>
        <v>-21.77</v>
      </c>
      <c r="AH29">
        <f>+sum_sheet!AG38*'Equivalence Factor'!$L38</f>
        <v>-22.42</v>
      </c>
      <c r="AI29">
        <f>+sum_sheet!AH38*'Equivalence Factor'!$L38</f>
        <v>-23.06</v>
      </c>
      <c r="AJ29">
        <f>+sum_sheet!AI38*'Equivalence Factor'!$L38</f>
        <v>-23.710000000000004</v>
      </c>
      <c r="AK29">
        <f>+sum_sheet!AJ38*'Equivalence Factor'!$L38</f>
        <v>-24.350000000000005</v>
      </c>
      <c r="AL29">
        <f>+sum_sheet!AK38*'Equivalence Factor'!$L38</f>
        <v>-24.990000000000002</v>
      </c>
      <c r="AM29">
        <f>+sum_sheet!AL38*'Equivalence Factor'!$L38</f>
        <v>-25.64</v>
      </c>
      <c r="AN29">
        <f>+sum_sheet!AM38*'Equivalence Factor'!$L38</f>
        <v>-25.75</v>
      </c>
      <c r="AO29">
        <f>+sum_sheet!AN38*'Equivalence Factor'!$L38</f>
        <v>-25.86</v>
      </c>
      <c r="AP29">
        <f>+sum_sheet!AO38*'Equivalence Factor'!$L38</f>
        <v>-25.97</v>
      </c>
      <c r="AQ29">
        <f>+sum_sheet!AP38*'Equivalence Factor'!$L38</f>
        <v>-26.07</v>
      </c>
      <c r="AR29">
        <f>+sum_sheet!AQ38*'Equivalence Factor'!$L38</f>
        <v>-26.179999999999996</v>
      </c>
      <c r="AS29">
        <f>+sum_sheet!AR38*'Equivalence Factor'!$L38</f>
        <v>-26.28</v>
      </c>
      <c r="AT29">
        <f>+sum_sheet!AS38*'Equivalence Factor'!$L38</f>
        <v>-26.389999999999997</v>
      </c>
    </row>
    <row r="30" spans="1:46" x14ac:dyDescent="0.2">
      <c r="A30" s="3" t="s">
        <v>235</v>
      </c>
      <c r="B30" t="s">
        <v>332</v>
      </c>
      <c r="C30" s="3" t="s">
        <v>17</v>
      </c>
      <c r="D30" s="3" t="s">
        <v>245</v>
      </c>
      <c r="E30" s="3" t="s">
        <v>242</v>
      </c>
      <c r="F30" s="3">
        <v>0</v>
      </c>
      <c r="G30" s="3" t="s">
        <v>0</v>
      </c>
      <c r="H30" s="3" t="s">
        <v>0</v>
      </c>
      <c r="I30" s="3" t="s">
        <v>0</v>
      </c>
      <c r="J30" s="3" t="s">
        <v>0</v>
      </c>
      <c r="K30" s="3" t="s">
        <v>0</v>
      </c>
      <c r="L30" s="3" t="s">
        <v>0</v>
      </c>
      <c r="M30" s="4">
        <v>-1</v>
      </c>
      <c r="O30">
        <f>+sum_sheet!N39*'Equivalence Factor'!$L39</f>
        <v>0</v>
      </c>
      <c r="P30">
        <f>+sum_sheet!O39*'Equivalence Factor'!$L39</f>
        <v>0</v>
      </c>
      <c r="Q30">
        <f>+sum_sheet!P39*'Equivalence Factor'!$L39</f>
        <v>0</v>
      </c>
      <c r="R30">
        <f>+sum_sheet!Q39*'Equivalence Factor'!$L39</f>
        <v>0</v>
      </c>
      <c r="S30">
        <f>+sum_sheet!R39*'Equivalence Factor'!$L39</f>
        <v>0</v>
      </c>
      <c r="T30">
        <f>+sum_sheet!S39*'Equivalence Factor'!$L39</f>
        <v>0</v>
      </c>
      <c r="U30">
        <f>+sum_sheet!T39*'Equivalence Factor'!$L39</f>
        <v>0</v>
      </c>
      <c r="V30">
        <f>+sum_sheet!U39*'Equivalence Factor'!$L39</f>
        <v>0</v>
      </c>
      <c r="W30">
        <f>+sum_sheet!V39*'Equivalence Factor'!$L39</f>
        <v>0</v>
      </c>
      <c r="X30">
        <f>+sum_sheet!W39*'Equivalence Factor'!$L39</f>
        <v>0</v>
      </c>
      <c r="Y30">
        <f>+sum_sheet!X39*'Equivalence Factor'!$L39</f>
        <v>0</v>
      </c>
      <c r="Z30">
        <f>+sum_sheet!Y39*'Equivalence Factor'!$L39</f>
        <v>0</v>
      </c>
      <c r="AA30">
        <f>+sum_sheet!Z39*'Equivalence Factor'!$L39</f>
        <v>0</v>
      </c>
      <c r="AB30">
        <f>+sum_sheet!AA39*'Equivalence Factor'!$L39</f>
        <v>0</v>
      </c>
      <c r="AC30">
        <f>+sum_sheet!AB39*'Equivalence Factor'!$L39</f>
        <v>0</v>
      </c>
      <c r="AD30">
        <f>+sum_sheet!AC39*'Equivalence Factor'!$L39</f>
        <v>0</v>
      </c>
      <c r="AE30">
        <f>+sum_sheet!AD39*'Equivalence Factor'!$L39</f>
        <v>0</v>
      </c>
      <c r="AF30">
        <f>+sum_sheet!AE39*'Equivalence Factor'!$L39</f>
        <v>0</v>
      </c>
      <c r="AG30">
        <f>+sum_sheet!AF39*'Equivalence Factor'!$L39</f>
        <v>0</v>
      </c>
      <c r="AH30">
        <f>+sum_sheet!AG39*'Equivalence Factor'!$L39</f>
        <v>0</v>
      </c>
      <c r="AI30">
        <f>+sum_sheet!AH39*'Equivalence Factor'!$L39</f>
        <v>0</v>
      </c>
      <c r="AJ30">
        <f>+sum_sheet!AI39*'Equivalence Factor'!$L39</f>
        <v>0</v>
      </c>
      <c r="AK30">
        <f>+sum_sheet!AJ39*'Equivalence Factor'!$L39</f>
        <v>0</v>
      </c>
      <c r="AL30">
        <f>+sum_sheet!AK39*'Equivalence Factor'!$L39</f>
        <v>0</v>
      </c>
      <c r="AM30">
        <f>+sum_sheet!AL39*'Equivalence Factor'!$L39</f>
        <v>0</v>
      </c>
      <c r="AN30">
        <f>+sum_sheet!AM39*'Equivalence Factor'!$L39</f>
        <v>0</v>
      </c>
      <c r="AO30">
        <f>+sum_sheet!AN39*'Equivalence Factor'!$L39</f>
        <v>0</v>
      </c>
      <c r="AP30">
        <f>+sum_sheet!AO39*'Equivalence Factor'!$L39</f>
        <v>0</v>
      </c>
      <c r="AQ30">
        <f>+sum_sheet!AP39*'Equivalence Factor'!$L39</f>
        <v>0</v>
      </c>
      <c r="AR30">
        <f>+sum_sheet!AQ39*'Equivalence Factor'!$L39</f>
        <v>0</v>
      </c>
      <c r="AS30">
        <f>+sum_sheet!AR39*'Equivalence Factor'!$L39</f>
        <v>0</v>
      </c>
      <c r="AT30">
        <f>+sum_sheet!AS39*'Equivalence Factor'!$L39</f>
        <v>0</v>
      </c>
    </row>
    <row r="31" spans="1:46" x14ac:dyDescent="0.2">
      <c r="A31" s="3" t="s">
        <v>235</v>
      </c>
      <c r="B31" t="s">
        <v>332</v>
      </c>
      <c r="C31" s="3" t="s">
        <v>17</v>
      </c>
      <c r="D31" s="3" t="s">
        <v>244</v>
      </c>
      <c r="E31" s="3" t="s">
        <v>242</v>
      </c>
      <c r="F31" s="3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4">
        <v>-1</v>
      </c>
      <c r="O31">
        <f>+sum_sheet!N40*'Equivalence Factor'!$L40</f>
        <v>0</v>
      </c>
      <c r="P31">
        <f>+sum_sheet!O40*'Equivalence Factor'!$L40</f>
        <v>0</v>
      </c>
      <c r="Q31">
        <f>+sum_sheet!P40*'Equivalence Factor'!$L40</f>
        <v>0</v>
      </c>
      <c r="R31">
        <f>+sum_sheet!Q40*'Equivalence Factor'!$L40</f>
        <v>0</v>
      </c>
      <c r="S31">
        <f>+sum_sheet!R40*'Equivalence Factor'!$L40</f>
        <v>0</v>
      </c>
      <c r="T31">
        <f>+sum_sheet!S40*'Equivalence Factor'!$L40</f>
        <v>0</v>
      </c>
      <c r="U31">
        <f>+sum_sheet!T40*'Equivalence Factor'!$L40</f>
        <v>0</v>
      </c>
      <c r="V31">
        <f>+sum_sheet!U40*'Equivalence Factor'!$L40</f>
        <v>0</v>
      </c>
      <c r="W31">
        <f>+sum_sheet!V40*'Equivalence Factor'!$L40</f>
        <v>0</v>
      </c>
      <c r="X31">
        <f>+sum_sheet!W40*'Equivalence Factor'!$L40</f>
        <v>0</v>
      </c>
      <c r="Y31">
        <f>+sum_sheet!X40*'Equivalence Factor'!$L40</f>
        <v>0</v>
      </c>
      <c r="Z31">
        <f>+sum_sheet!Y40*'Equivalence Factor'!$L40</f>
        <v>0</v>
      </c>
      <c r="AA31">
        <f>+sum_sheet!Z40*'Equivalence Factor'!$L40</f>
        <v>0</v>
      </c>
      <c r="AB31">
        <f>+sum_sheet!AA40*'Equivalence Factor'!$L40</f>
        <v>0</v>
      </c>
      <c r="AC31">
        <f>+sum_sheet!AB40*'Equivalence Factor'!$L40</f>
        <v>0</v>
      </c>
      <c r="AD31">
        <f>+sum_sheet!AC40*'Equivalence Factor'!$L40</f>
        <v>0</v>
      </c>
      <c r="AE31">
        <f>+sum_sheet!AD40*'Equivalence Factor'!$L40</f>
        <v>0</v>
      </c>
      <c r="AF31">
        <f>+sum_sheet!AE40*'Equivalence Factor'!$L40</f>
        <v>0</v>
      </c>
      <c r="AG31">
        <f>+sum_sheet!AF40*'Equivalence Factor'!$L40</f>
        <v>0</v>
      </c>
      <c r="AH31">
        <f>+sum_sheet!AG40*'Equivalence Factor'!$L40</f>
        <v>0</v>
      </c>
      <c r="AI31">
        <f>+sum_sheet!AH40*'Equivalence Factor'!$L40</f>
        <v>0</v>
      </c>
      <c r="AJ31">
        <f>+sum_sheet!AI40*'Equivalence Factor'!$L40</f>
        <v>0</v>
      </c>
      <c r="AK31">
        <f>+sum_sheet!AJ40*'Equivalence Factor'!$L40</f>
        <v>0</v>
      </c>
      <c r="AL31">
        <f>+sum_sheet!AK40*'Equivalence Factor'!$L40</f>
        <v>0</v>
      </c>
      <c r="AM31">
        <f>+sum_sheet!AL40*'Equivalence Factor'!$L40</f>
        <v>0</v>
      </c>
      <c r="AN31">
        <f>+sum_sheet!AM40*'Equivalence Factor'!$L40</f>
        <v>0</v>
      </c>
      <c r="AO31">
        <f>+sum_sheet!AN40*'Equivalence Factor'!$L40</f>
        <v>0</v>
      </c>
      <c r="AP31">
        <f>+sum_sheet!AO40*'Equivalence Factor'!$L40</f>
        <v>0</v>
      </c>
      <c r="AQ31">
        <f>+sum_sheet!AP40*'Equivalence Factor'!$L40</f>
        <v>0</v>
      </c>
      <c r="AR31">
        <f>+sum_sheet!AQ40*'Equivalence Factor'!$L40</f>
        <v>0</v>
      </c>
      <c r="AS31">
        <f>+sum_sheet!AR40*'Equivalence Factor'!$L40</f>
        <v>0</v>
      </c>
      <c r="AT31">
        <f>+sum_sheet!AS40*'Equivalence Factor'!$L40</f>
        <v>0</v>
      </c>
    </row>
    <row r="32" spans="1:46" x14ac:dyDescent="0.2">
      <c r="A32" s="3" t="s">
        <v>235</v>
      </c>
      <c r="B32" t="s">
        <v>332</v>
      </c>
      <c r="C32" s="3" t="s">
        <v>17</v>
      </c>
      <c r="D32" s="3" t="s">
        <v>243</v>
      </c>
      <c r="E32" s="3" t="s">
        <v>242</v>
      </c>
      <c r="F32" s="3">
        <v>0</v>
      </c>
      <c r="G32" s="3" t="s">
        <v>0</v>
      </c>
      <c r="H32" s="3" t="s">
        <v>0</v>
      </c>
      <c r="I32" s="3" t="s">
        <v>0</v>
      </c>
      <c r="J32" s="3" t="s">
        <v>0</v>
      </c>
      <c r="K32" s="3" t="s">
        <v>0</v>
      </c>
      <c r="L32" s="3" t="s">
        <v>0</v>
      </c>
      <c r="M32" s="4">
        <v>-1</v>
      </c>
      <c r="O32">
        <f>+sum_sheet!N41*'Equivalence Factor'!$L41</f>
        <v>0</v>
      </c>
      <c r="P32">
        <f>+sum_sheet!O41*'Equivalence Factor'!$L41</f>
        <v>0</v>
      </c>
      <c r="Q32">
        <f>+sum_sheet!P41*'Equivalence Factor'!$L41</f>
        <v>0</v>
      </c>
      <c r="R32">
        <f>+sum_sheet!Q41*'Equivalence Factor'!$L41</f>
        <v>0</v>
      </c>
      <c r="S32">
        <f>+sum_sheet!R41*'Equivalence Factor'!$L41</f>
        <v>0</v>
      </c>
      <c r="T32">
        <f>+sum_sheet!S41*'Equivalence Factor'!$L41</f>
        <v>0</v>
      </c>
      <c r="U32">
        <f>+sum_sheet!T41*'Equivalence Factor'!$L41</f>
        <v>0</v>
      </c>
      <c r="V32">
        <f>+sum_sheet!U41*'Equivalence Factor'!$L41</f>
        <v>0</v>
      </c>
      <c r="W32">
        <f>+sum_sheet!V41*'Equivalence Factor'!$L41</f>
        <v>0</v>
      </c>
      <c r="X32">
        <f>+sum_sheet!W41*'Equivalence Factor'!$L41</f>
        <v>0</v>
      </c>
      <c r="Y32">
        <f>+sum_sheet!X41*'Equivalence Factor'!$L41</f>
        <v>0</v>
      </c>
      <c r="Z32">
        <f>+sum_sheet!Y41*'Equivalence Factor'!$L41</f>
        <v>0</v>
      </c>
      <c r="AA32">
        <f>+sum_sheet!Z41*'Equivalence Factor'!$L41</f>
        <v>0</v>
      </c>
      <c r="AB32">
        <f>+sum_sheet!AA41*'Equivalence Factor'!$L41</f>
        <v>0</v>
      </c>
      <c r="AC32">
        <f>+sum_sheet!AB41*'Equivalence Factor'!$L41</f>
        <v>0</v>
      </c>
      <c r="AD32">
        <f>+sum_sheet!AC41*'Equivalence Factor'!$L41</f>
        <v>0</v>
      </c>
      <c r="AE32">
        <f>+sum_sheet!AD41*'Equivalence Factor'!$L41</f>
        <v>0</v>
      </c>
      <c r="AF32">
        <f>+sum_sheet!AE41*'Equivalence Factor'!$L41</f>
        <v>0</v>
      </c>
      <c r="AG32">
        <f>+sum_sheet!AF41*'Equivalence Factor'!$L41</f>
        <v>0</v>
      </c>
      <c r="AH32">
        <f>+sum_sheet!AG41*'Equivalence Factor'!$L41</f>
        <v>0</v>
      </c>
      <c r="AI32">
        <f>+sum_sheet!AH41*'Equivalence Factor'!$L41</f>
        <v>0</v>
      </c>
      <c r="AJ32">
        <f>+sum_sheet!AI41*'Equivalence Factor'!$L41</f>
        <v>0</v>
      </c>
      <c r="AK32">
        <f>+sum_sheet!AJ41*'Equivalence Factor'!$L41</f>
        <v>0</v>
      </c>
      <c r="AL32">
        <f>+sum_sheet!AK41*'Equivalence Factor'!$L41</f>
        <v>0</v>
      </c>
      <c r="AM32">
        <f>+sum_sheet!AL41*'Equivalence Factor'!$L41</f>
        <v>0</v>
      </c>
      <c r="AN32">
        <f>+sum_sheet!AM41*'Equivalence Factor'!$L41</f>
        <v>0</v>
      </c>
      <c r="AO32">
        <f>+sum_sheet!AN41*'Equivalence Factor'!$L41</f>
        <v>0</v>
      </c>
      <c r="AP32">
        <f>+sum_sheet!AO41*'Equivalence Factor'!$L41</f>
        <v>0</v>
      </c>
      <c r="AQ32">
        <f>+sum_sheet!AP41*'Equivalence Factor'!$L41</f>
        <v>0</v>
      </c>
      <c r="AR32">
        <f>+sum_sheet!AQ41*'Equivalence Factor'!$L41</f>
        <v>0</v>
      </c>
      <c r="AS32">
        <f>+sum_sheet!AR41*'Equivalence Factor'!$L41</f>
        <v>0</v>
      </c>
      <c r="AT32">
        <f>+sum_sheet!AS41*'Equivalence Factor'!$L41</f>
        <v>0</v>
      </c>
    </row>
    <row r="33" spans="1:46" x14ac:dyDescent="0.2">
      <c r="A33" s="3" t="s">
        <v>235</v>
      </c>
      <c r="B33" t="s">
        <v>332</v>
      </c>
      <c r="C33" s="3" t="s">
        <v>9</v>
      </c>
      <c r="D33" s="3" t="s">
        <v>253</v>
      </c>
      <c r="E33" s="3" t="s">
        <v>252</v>
      </c>
      <c r="F33" s="3">
        <v>0</v>
      </c>
      <c r="G33" s="3" t="s">
        <v>0</v>
      </c>
      <c r="H33" s="3" t="s">
        <v>0</v>
      </c>
      <c r="I33" s="3" t="s">
        <v>0</v>
      </c>
      <c r="J33" s="3" t="s">
        <v>0</v>
      </c>
      <c r="K33" s="3" t="s">
        <v>0</v>
      </c>
      <c r="L33" s="3" t="s">
        <v>0</v>
      </c>
      <c r="M33" s="4">
        <v>-1</v>
      </c>
      <c r="O33">
        <f>+sum_sheet!N42*'Equivalence Factor'!$L42</f>
        <v>0</v>
      </c>
      <c r="P33">
        <f>+sum_sheet!O42*'Equivalence Factor'!$L42</f>
        <v>0</v>
      </c>
      <c r="Q33">
        <f>+sum_sheet!P42*'Equivalence Factor'!$L42</f>
        <v>0</v>
      </c>
      <c r="R33">
        <f>+sum_sheet!Q42*'Equivalence Factor'!$L42</f>
        <v>0</v>
      </c>
      <c r="S33">
        <f>+sum_sheet!R42*'Equivalence Factor'!$L42</f>
        <v>0</v>
      </c>
      <c r="T33">
        <f>+sum_sheet!S42*'Equivalence Factor'!$L42</f>
        <v>0</v>
      </c>
      <c r="U33">
        <f>+sum_sheet!T42*'Equivalence Factor'!$L42</f>
        <v>0</v>
      </c>
      <c r="V33">
        <f>+sum_sheet!U42*'Equivalence Factor'!$L42</f>
        <v>0</v>
      </c>
      <c r="W33">
        <f>+sum_sheet!V42*'Equivalence Factor'!$L42</f>
        <v>0</v>
      </c>
      <c r="X33">
        <f>+sum_sheet!W42*'Equivalence Factor'!$L42</f>
        <v>0</v>
      </c>
      <c r="Y33">
        <f>+sum_sheet!X42*'Equivalence Factor'!$L42</f>
        <v>0</v>
      </c>
      <c r="Z33">
        <f>+sum_sheet!Y42*'Equivalence Factor'!$L42</f>
        <v>0</v>
      </c>
      <c r="AA33">
        <f>+sum_sheet!Z42*'Equivalence Factor'!$L42</f>
        <v>0</v>
      </c>
      <c r="AB33">
        <f>+sum_sheet!AA42*'Equivalence Factor'!$L42</f>
        <v>0</v>
      </c>
      <c r="AC33">
        <f>+sum_sheet!AB42*'Equivalence Factor'!$L42</f>
        <v>0</v>
      </c>
      <c r="AD33">
        <f>+sum_sheet!AC42*'Equivalence Factor'!$L42</f>
        <v>0</v>
      </c>
      <c r="AE33">
        <f>+sum_sheet!AD42*'Equivalence Factor'!$L42</f>
        <v>0</v>
      </c>
      <c r="AF33">
        <f>+sum_sheet!AE42*'Equivalence Factor'!$L42</f>
        <v>0</v>
      </c>
      <c r="AG33">
        <f>+sum_sheet!AF42*'Equivalence Factor'!$L42</f>
        <v>0</v>
      </c>
      <c r="AH33">
        <f>+sum_sheet!AG42*'Equivalence Factor'!$L42</f>
        <v>0</v>
      </c>
      <c r="AI33">
        <f>+sum_sheet!AH42*'Equivalence Factor'!$L42</f>
        <v>0</v>
      </c>
      <c r="AJ33">
        <f>+sum_sheet!AI42*'Equivalence Factor'!$L42</f>
        <v>0</v>
      </c>
      <c r="AK33">
        <f>+sum_sheet!AJ42*'Equivalence Factor'!$L42</f>
        <v>0</v>
      </c>
      <c r="AL33">
        <f>+sum_sheet!AK42*'Equivalence Factor'!$L42</f>
        <v>0</v>
      </c>
      <c r="AM33">
        <f>+sum_sheet!AL42*'Equivalence Factor'!$L42</f>
        <v>0</v>
      </c>
      <c r="AN33">
        <f>+sum_sheet!AM42*'Equivalence Factor'!$L42</f>
        <v>0</v>
      </c>
      <c r="AO33">
        <f>+sum_sheet!AN42*'Equivalence Factor'!$L42</f>
        <v>0</v>
      </c>
      <c r="AP33">
        <f>+sum_sheet!AO42*'Equivalence Factor'!$L42</f>
        <v>0</v>
      </c>
      <c r="AQ33">
        <f>+sum_sheet!AP42*'Equivalence Factor'!$L42</f>
        <v>0</v>
      </c>
      <c r="AR33">
        <f>+sum_sheet!AQ42*'Equivalence Factor'!$L42</f>
        <v>0</v>
      </c>
      <c r="AS33">
        <f>+sum_sheet!AR42*'Equivalence Factor'!$L42</f>
        <v>0</v>
      </c>
      <c r="AT33">
        <f>+sum_sheet!AS42*'Equivalence Factor'!$L42</f>
        <v>0</v>
      </c>
    </row>
    <row r="34" spans="1:46" x14ac:dyDescent="0.2">
      <c r="A34" s="3" t="s">
        <v>4</v>
      </c>
      <c r="B34" t="s">
        <v>331</v>
      </c>
      <c r="C34" s="3" t="s">
        <v>9</v>
      </c>
      <c r="D34" s="3" t="s">
        <v>11</v>
      </c>
      <c r="E34" s="3" t="s">
        <v>7</v>
      </c>
      <c r="F34" s="3">
        <v>0</v>
      </c>
      <c r="G34" s="3" t="s">
        <v>0</v>
      </c>
      <c r="H34" s="3" t="s">
        <v>0</v>
      </c>
      <c r="I34" s="3" t="s">
        <v>0</v>
      </c>
      <c r="J34" s="3" t="s">
        <v>0</v>
      </c>
      <c r="K34" s="3" t="s">
        <v>0</v>
      </c>
      <c r="L34" s="3" t="s">
        <v>0</v>
      </c>
      <c r="M34" s="4">
        <v>-1</v>
      </c>
      <c r="O34">
        <f>+sum_sheet!N43*'Equivalence Factor'!$L43</f>
        <v>0</v>
      </c>
      <c r="P34">
        <f>+sum_sheet!O43*'Equivalence Factor'!$L43</f>
        <v>0</v>
      </c>
      <c r="Q34">
        <f>+sum_sheet!P43*'Equivalence Factor'!$L43</f>
        <v>0</v>
      </c>
      <c r="R34">
        <f>+sum_sheet!Q43*'Equivalence Factor'!$L43</f>
        <v>0</v>
      </c>
      <c r="S34">
        <f>+sum_sheet!R43*'Equivalence Factor'!$L43</f>
        <v>0</v>
      </c>
      <c r="T34">
        <f>+sum_sheet!S43*'Equivalence Factor'!$L43</f>
        <v>0</v>
      </c>
      <c r="U34">
        <f>+sum_sheet!T43*'Equivalence Factor'!$L43</f>
        <v>0</v>
      </c>
      <c r="V34">
        <f>+sum_sheet!U43*'Equivalence Factor'!$L43</f>
        <v>0</v>
      </c>
      <c r="W34">
        <f>+sum_sheet!V43*'Equivalence Factor'!$L43</f>
        <v>0</v>
      </c>
      <c r="X34">
        <f>+sum_sheet!W43*'Equivalence Factor'!$L43</f>
        <v>0</v>
      </c>
      <c r="Y34">
        <f>+sum_sheet!X43*'Equivalence Factor'!$L43</f>
        <v>0</v>
      </c>
      <c r="Z34">
        <f>+sum_sheet!Y43*'Equivalence Factor'!$L43</f>
        <v>0</v>
      </c>
      <c r="AA34">
        <f>+sum_sheet!Z43*'Equivalence Factor'!$L43</f>
        <v>0</v>
      </c>
      <c r="AB34">
        <f>+sum_sheet!AA43*'Equivalence Factor'!$L43</f>
        <v>0</v>
      </c>
      <c r="AC34">
        <f>+sum_sheet!AB43*'Equivalence Factor'!$L43</f>
        <v>0</v>
      </c>
      <c r="AD34">
        <f>+sum_sheet!AC43*'Equivalence Factor'!$L43</f>
        <v>0</v>
      </c>
      <c r="AE34">
        <f>+sum_sheet!AD43*'Equivalence Factor'!$L43</f>
        <v>0</v>
      </c>
      <c r="AF34">
        <f>+sum_sheet!AE43*'Equivalence Factor'!$L43</f>
        <v>0</v>
      </c>
      <c r="AG34">
        <f>+sum_sheet!AF43*'Equivalence Factor'!$L43</f>
        <v>0</v>
      </c>
      <c r="AH34">
        <f>+sum_sheet!AG43*'Equivalence Factor'!$L43</f>
        <v>0</v>
      </c>
      <c r="AI34">
        <f>+sum_sheet!AH43*'Equivalence Factor'!$L43</f>
        <v>0</v>
      </c>
      <c r="AJ34">
        <f>+sum_sheet!AI43*'Equivalence Factor'!$L43</f>
        <v>0</v>
      </c>
      <c r="AK34">
        <f>+sum_sheet!AJ43*'Equivalence Factor'!$L43</f>
        <v>0</v>
      </c>
      <c r="AL34">
        <f>+sum_sheet!AK43*'Equivalence Factor'!$L43</f>
        <v>0</v>
      </c>
      <c r="AM34">
        <f>+sum_sheet!AL43*'Equivalence Factor'!$L43</f>
        <v>0</v>
      </c>
      <c r="AN34">
        <f>+sum_sheet!AM43*'Equivalence Factor'!$L43</f>
        <v>0</v>
      </c>
      <c r="AO34">
        <f>+sum_sheet!AN43*'Equivalence Factor'!$L43</f>
        <v>0</v>
      </c>
      <c r="AP34">
        <f>+sum_sheet!AO43*'Equivalence Factor'!$L43</f>
        <v>0</v>
      </c>
      <c r="AQ34">
        <f>+sum_sheet!AP43*'Equivalence Factor'!$L43</f>
        <v>0</v>
      </c>
      <c r="AR34">
        <f>+sum_sheet!AQ43*'Equivalence Factor'!$L43</f>
        <v>0</v>
      </c>
      <c r="AS34">
        <f>+sum_sheet!AR43*'Equivalence Factor'!$L43</f>
        <v>0</v>
      </c>
      <c r="AT34">
        <f>+sum_sheet!AS43*'Equivalence Factor'!$L43</f>
        <v>0</v>
      </c>
    </row>
    <row r="35" spans="1:46" x14ac:dyDescent="0.2">
      <c r="A35" s="3" t="s">
        <v>4</v>
      </c>
      <c r="B35" t="s">
        <v>331</v>
      </c>
      <c r="C35" s="3" t="s">
        <v>9</v>
      </c>
      <c r="D35" s="3" t="s">
        <v>8</v>
      </c>
      <c r="E35" s="3" t="s">
        <v>7</v>
      </c>
      <c r="F35" s="3">
        <v>0</v>
      </c>
      <c r="G35" s="3" t="s">
        <v>0</v>
      </c>
      <c r="H35" s="3" t="s">
        <v>0</v>
      </c>
      <c r="I35" s="3" t="s">
        <v>0</v>
      </c>
      <c r="J35" s="3" t="s">
        <v>0</v>
      </c>
      <c r="K35" s="3" t="s">
        <v>0</v>
      </c>
      <c r="L35" s="3" t="s">
        <v>0</v>
      </c>
      <c r="M35" s="4">
        <v>-1</v>
      </c>
      <c r="O35">
        <f>+sum_sheet!N44*'Equivalence Factor'!$L44</f>
        <v>0</v>
      </c>
      <c r="P35">
        <f>+sum_sheet!O44*'Equivalence Factor'!$L44</f>
        <v>0</v>
      </c>
      <c r="Q35">
        <f>+sum_sheet!P44*'Equivalence Factor'!$L44</f>
        <v>0</v>
      </c>
      <c r="R35">
        <f>+sum_sheet!Q44*'Equivalence Factor'!$L44</f>
        <v>0</v>
      </c>
      <c r="S35">
        <f>+sum_sheet!R44*'Equivalence Factor'!$L44</f>
        <v>0</v>
      </c>
      <c r="T35">
        <f>+sum_sheet!S44*'Equivalence Factor'!$L44</f>
        <v>0</v>
      </c>
      <c r="U35">
        <f>+sum_sheet!T44*'Equivalence Factor'!$L44</f>
        <v>0</v>
      </c>
      <c r="V35">
        <f>+sum_sheet!U44*'Equivalence Factor'!$L44</f>
        <v>0</v>
      </c>
      <c r="W35">
        <f>+sum_sheet!V44*'Equivalence Factor'!$L44</f>
        <v>0</v>
      </c>
      <c r="X35">
        <f>+sum_sheet!W44*'Equivalence Factor'!$L44</f>
        <v>0</v>
      </c>
      <c r="Y35">
        <f>+sum_sheet!X44*'Equivalence Factor'!$L44</f>
        <v>0</v>
      </c>
      <c r="Z35">
        <f>+sum_sheet!Y44*'Equivalence Factor'!$L44</f>
        <v>0</v>
      </c>
      <c r="AA35">
        <f>+sum_sheet!Z44*'Equivalence Factor'!$L44</f>
        <v>0</v>
      </c>
      <c r="AB35">
        <f>+sum_sheet!AA44*'Equivalence Factor'!$L44</f>
        <v>0</v>
      </c>
      <c r="AC35">
        <f>+sum_sheet!AB44*'Equivalence Factor'!$L44</f>
        <v>0</v>
      </c>
      <c r="AD35">
        <f>+sum_sheet!AC44*'Equivalence Factor'!$L44</f>
        <v>0</v>
      </c>
      <c r="AE35">
        <f>+sum_sheet!AD44*'Equivalence Factor'!$L44</f>
        <v>0</v>
      </c>
      <c r="AF35">
        <f>+sum_sheet!AE44*'Equivalence Factor'!$L44</f>
        <v>0</v>
      </c>
      <c r="AG35">
        <f>+sum_sheet!AF44*'Equivalence Factor'!$L44</f>
        <v>0</v>
      </c>
      <c r="AH35">
        <f>+sum_sheet!AG44*'Equivalence Factor'!$L44</f>
        <v>0</v>
      </c>
      <c r="AI35">
        <f>+sum_sheet!AH44*'Equivalence Factor'!$L44</f>
        <v>0</v>
      </c>
      <c r="AJ35">
        <f>+sum_sheet!AI44*'Equivalence Factor'!$L44</f>
        <v>0</v>
      </c>
      <c r="AK35">
        <f>+sum_sheet!AJ44*'Equivalence Factor'!$L44</f>
        <v>0</v>
      </c>
      <c r="AL35">
        <f>+sum_sheet!AK44*'Equivalence Factor'!$L44</f>
        <v>0</v>
      </c>
      <c r="AM35">
        <f>+sum_sheet!AL44*'Equivalence Factor'!$L44</f>
        <v>0</v>
      </c>
      <c r="AN35">
        <f>+sum_sheet!AM44*'Equivalence Factor'!$L44</f>
        <v>0</v>
      </c>
      <c r="AO35">
        <f>+sum_sheet!AN44*'Equivalence Factor'!$L44</f>
        <v>0</v>
      </c>
      <c r="AP35">
        <f>+sum_sheet!AO44*'Equivalence Factor'!$L44</f>
        <v>0</v>
      </c>
      <c r="AQ35">
        <f>+sum_sheet!AP44*'Equivalence Factor'!$L44</f>
        <v>0</v>
      </c>
      <c r="AR35">
        <f>+sum_sheet!AQ44*'Equivalence Factor'!$L44</f>
        <v>0</v>
      </c>
      <c r="AS35">
        <f>+sum_sheet!AR44*'Equivalence Factor'!$L44</f>
        <v>0</v>
      </c>
      <c r="AT35">
        <f>+sum_sheet!AS44*'Equivalence Factor'!$L44</f>
        <v>0</v>
      </c>
    </row>
    <row r="36" spans="1:46" x14ac:dyDescent="0.2">
      <c r="A36" s="3" t="s">
        <v>4</v>
      </c>
      <c r="B36" t="s">
        <v>331</v>
      </c>
      <c r="C36" s="3" t="s">
        <v>3</v>
      </c>
      <c r="D36" s="3" t="s">
        <v>6</v>
      </c>
      <c r="E36" s="3" t="s">
        <v>1</v>
      </c>
      <c r="F36" s="3">
        <v>0</v>
      </c>
      <c r="G36" s="3" t="s">
        <v>0</v>
      </c>
      <c r="H36" s="3" t="s">
        <v>0</v>
      </c>
      <c r="I36" s="3" t="s">
        <v>0</v>
      </c>
      <c r="J36" s="3" t="s">
        <v>0</v>
      </c>
      <c r="K36" s="3" t="s">
        <v>0</v>
      </c>
      <c r="L36" s="3" t="s">
        <v>0</v>
      </c>
      <c r="M36" s="4">
        <v>-1</v>
      </c>
      <c r="O36">
        <f>+sum_sheet!N45*'Equivalence Factor'!$L45</f>
        <v>0</v>
      </c>
      <c r="P36">
        <f>+sum_sheet!O45*'Equivalence Factor'!$L45</f>
        <v>0</v>
      </c>
      <c r="Q36">
        <f>+sum_sheet!P45*'Equivalence Factor'!$L45</f>
        <v>0</v>
      </c>
      <c r="R36">
        <f>+sum_sheet!Q45*'Equivalence Factor'!$L45</f>
        <v>0</v>
      </c>
      <c r="S36">
        <f>+sum_sheet!R45*'Equivalence Factor'!$L45</f>
        <v>0</v>
      </c>
      <c r="T36">
        <f>+sum_sheet!S45*'Equivalence Factor'!$L45</f>
        <v>0</v>
      </c>
      <c r="U36">
        <f>+sum_sheet!T45*'Equivalence Factor'!$L45</f>
        <v>0</v>
      </c>
      <c r="V36">
        <f>+sum_sheet!U45*'Equivalence Factor'!$L45</f>
        <v>0</v>
      </c>
      <c r="W36">
        <f>+sum_sheet!V45*'Equivalence Factor'!$L45</f>
        <v>0</v>
      </c>
      <c r="X36">
        <f>+sum_sheet!W45*'Equivalence Factor'!$L45</f>
        <v>0</v>
      </c>
      <c r="Y36">
        <f>+sum_sheet!X45*'Equivalence Factor'!$L45</f>
        <v>0</v>
      </c>
      <c r="Z36">
        <f>+sum_sheet!Y45*'Equivalence Factor'!$L45</f>
        <v>0</v>
      </c>
      <c r="AA36">
        <f>+sum_sheet!Z45*'Equivalence Factor'!$L45</f>
        <v>0</v>
      </c>
      <c r="AB36">
        <f>+sum_sheet!AA45*'Equivalence Factor'!$L45</f>
        <v>0</v>
      </c>
      <c r="AC36">
        <f>+sum_sheet!AB45*'Equivalence Factor'!$L45</f>
        <v>0</v>
      </c>
      <c r="AD36">
        <f>+sum_sheet!AC45*'Equivalence Factor'!$L45</f>
        <v>0</v>
      </c>
      <c r="AE36">
        <f>+sum_sheet!AD45*'Equivalence Factor'!$L45</f>
        <v>0</v>
      </c>
      <c r="AF36">
        <f>+sum_sheet!AE45*'Equivalence Factor'!$L45</f>
        <v>0</v>
      </c>
      <c r="AG36">
        <f>+sum_sheet!AF45*'Equivalence Factor'!$L45</f>
        <v>0</v>
      </c>
      <c r="AH36">
        <f>+sum_sheet!AG45*'Equivalence Factor'!$L45</f>
        <v>0</v>
      </c>
      <c r="AI36">
        <f>+sum_sheet!AH45*'Equivalence Factor'!$L45</f>
        <v>0</v>
      </c>
      <c r="AJ36">
        <f>+sum_sheet!AI45*'Equivalence Factor'!$L45</f>
        <v>0</v>
      </c>
      <c r="AK36">
        <f>+sum_sheet!AJ45*'Equivalence Factor'!$L45</f>
        <v>0</v>
      </c>
      <c r="AL36">
        <f>+sum_sheet!AK45*'Equivalence Factor'!$L45</f>
        <v>0</v>
      </c>
      <c r="AM36">
        <f>+sum_sheet!AL45*'Equivalence Factor'!$L45</f>
        <v>0</v>
      </c>
      <c r="AN36">
        <f>+sum_sheet!AM45*'Equivalence Factor'!$L45</f>
        <v>0</v>
      </c>
      <c r="AO36">
        <f>+sum_sheet!AN45*'Equivalence Factor'!$L45</f>
        <v>0</v>
      </c>
      <c r="AP36">
        <f>+sum_sheet!AO45*'Equivalence Factor'!$L45</f>
        <v>0</v>
      </c>
      <c r="AQ36">
        <f>+sum_sheet!AP45*'Equivalence Factor'!$L45</f>
        <v>0</v>
      </c>
      <c r="AR36">
        <f>+sum_sheet!AQ45*'Equivalence Factor'!$L45</f>
        <v>0</v>
      </c>
      <c r="AS36">
        <f>+sum_sheet!AR45*'Equivalence Factor'!$L45</f>
        <v>0</v>
      </c>
      <c r="AT36">
        <f>+sum_sheet!AS45*'Equivalence Factor'!$L45</f>
        <v>0</v>
      </c>
    </row>
    <row r="37" spans="1:46" x14ac:dyDescent="0.2">
      <c r="A37" s="3" t="s">
        <v>4</v>
      </c>
      <c r="B37" t="s">
        <v>331</v>
      </c>
      <c r="C37" s="3" t="s">
        <v>3</v>
      </c>
      <c r="D37" s="3" t="s">
        <v>5</v>
      </c>
      <c r="E37" s="3" t="s">
        <v>1</v>
      </c>
      <c r="F37" s="3">
        <v>0</v>
      </c>
      <c r="G37" s="3" t="s">
        <v>0</v>
      </c>
      <c r="H37" s="3" t="s">
        <v>0</v>
      </c>
      <c r="I37" s="3" t="s">
        <v>0</v>
      </c>
      <c r="J37" s="3" t="s">
        <v>0</v>
      </c>
      <c r="K37" s="3" t="s">
        <v>0</v>
      </c>
      <c r="L37" s="3" t="s">
        <v>0</v>
      </c>
      <c r="M37" s="4">
        <v>-1</v>
      </c>
      <c r="O37">
        <f>+sum_sheet!N46*'Equivalence Factor'!$L46</f>
        <v>0</v>
      </c>
      <c r="P37">
        <f>+sum_sheet!O46*'Equivalence Factor'!$L46</f>
        <v>0</v>
      </c>
      <c r="Q37">
        <f>+sum_sheet!P46*'Equivalence Factor'!$L46</f>
        <v>0</v>
      </c>
      <c r="R37">
        <f>+sum_sheet!Q46*'Equivalence Factor'!$L46</f>
        <v>0</v>
      </c>
      <c r="S37">
        <f>+sum_sheet!R46*'Equivalence Factor'!$L46</f>
        <v>0</v>
      </c>
      <c r="T37">
        <f>+sum_sheet!S46*'Equivalence Factor'!$L46</f>
        <v>0</v>
      </c>
      <c r="U37">
        <f>+sum_sheet!T46*'Equivalence Factor'!$L46</f>
        <v>0</v>
      </c>
      <c r="V37">
        <f>+sum_sheet!U46*'Equivalence Factor'!$L46</f>
        <v>0</v>
      </c>
      <c r="W37">
        <f>+sum_sheet!V46*'Equivalence Factor'!$L46</f>
        <v>0</v>
      </c>
      <c r="X37">
        <f>+sum_sheet!W46*'Equivalence Factor'!$L46</f>
        <v>0</v>
      </c>
      <c r="Y37">
        <f>+sum_sheet!X46*'Equivalence Factor'!$L46</f>
        <v>0</v>
      </c>
      <c r="Z37">
        <f>+sum_sheet!Y46*'Equivalence Factor'!$L46</f>
        <v>0</v>
      </c>
      <c r="AA37">
        <f>+sum_sheet!Z46*'Equivalence Factor'!$L46</f>
        <v>0</v>
      </c>
      <c r="AB37">
        <f>+sum_sheet!AA46*'Equivalence Factor'!$L46</f>
        <v>0</v>
      </c>
      <c r="AC37">
        <f>+sum_sheet!AB46*'Equivalence Factor'!$L46</f>
        <v>0</v>
      </c>
      <c r="AD37">
        <f>+sum_sheet!AC46*'Equivalence Factor'!$L46</f>
        <v>0</v>
      </c>
      <c r="AE37">
        <f>+sum_sheet!AD46*'Equivalence Factor'!$L46</f>
        <v>0</v>
      </c>
      <c r="AF37">
        <f>+sum_sheet!AE46*'Equivalence Factor'!$L46</f>
        <v>0</v>
      </c>
      <c r="AG37">
        <f>+sum_sheet!AF46*'Equivalence Factor'!$L46</f>
        <v>0</v>
      </c>
      <c r="AH37">
        <f>+sum_sheet!AG46*'Equivalence Factor'!$L46</f>
        <v>0</v>
      </c>
      <c r="AI37">
        <f>+sum_sheet!AH46*'Equivalence Factor'!$L46</f>
        <v>0</v>
      </c>
      <c r="AJ37">
        <f>+sum_sheet!AI46*'Equivalence Factor'!$L46</f>
        <v>0</v>
      </c>
      <c r="AK37">
        <f>+sum_sheet!AJ46*'Equivalence Factor'!$L46</f>
        <v>0</v>
      </c>
      <c r="AL37">
        <f>+sum_sheet!AK46*'Equivalence Factor'!$L46</f>
        <v>0</v>
      </c>
      <c r="AM37">
        <f>+sum_sheet!AL46*'Equivalence Factor'!$L46</f>
        <v>0</v>
      </c>
      <c r="AN37">
        <f>+sum_sheet!AM46*'Equivalence Factor'!$L46</f>
        <v>0</v>
      </c>
      <c r="AO37">
        <f>+sum_sheet!AN46*'Equivalence Factor'!$L46</f>
        <v>0</v>
      </c>
      <c r="AP37">
        <f>+sum_sheet!AO46*'Equivalence Factor'!$L46</f>
        <v>0</v>
      </c>
      <c r="AQ37">
        <f>+sum_sheet!AP46*'Equivalence Factor'!$L46</f>
        <v>0</v>
      </c>
      <c r="AR37">
        <f>+sum_sheet!AQ46*'Equivalence Factor'!$L46</f>
        <v>0</v>
      </c>
      <c r="AS37">
        <f>+sum_sheet!AR46*'Equivalence Factor'!$L46</f>
        <v>0</v>
      </c>
      <c r="AT37">
        <f>+sum_sheet!AS46*'Equivalence Factor'!$L46</f>
        <v>0</v>
      </c>
    </row>
    <row r="38" spans="1:46" x14ac:dyDescent="0.2">
      <c r="A38" s="3" t="s">
        <v>4</v>
      </c>
      <c r="B38" t="s">
        <v>331</v>
      </c>
      <c r="C38" s="3" t="s">
        <v>3</v>
      </c>
      <c r="D38" s="3" t="s">
        <v>2</v>
      </c>
      <c r="E38" s="3" t="s">
        <v>1</v>
      </c>
      <c r="F38" s="3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3" t="s">
        <v>0</v>
      </c>
      <c r="M38" s="4">
        <v>-1</v>
      </c>
      <c r="O38">
        <f>+sum_sheet!N48*'Equivalence Factor'!$L48</f>
        <v>0</v>
      </c>
      <c r="P38">
        <f>+sum_sheet!O48*'Equivalence Factor'!$L48</f>
        <v>0</v>
      </c>
      <c r="Q38">
        <f>+sum_sheet!P48*'Equivalence Factor'!$L48</f>
        <v>0</v>
      </c>
      <c r="R38">
        <f>+sum_sheet!Q48*'Equivalence Factor'!$L48</f>
        <v>0</v>
      </c>
      <c r="S38">
        <f>+sum_sheet!R48*'Equivalence Factor'!$L48</f>
        <v>0</v>
      </c>
      <c r="T38">
        <f>+sum_sheet!S48*'Equivalence Factor'!$L48</f>
        <v>0</v>
      </c>
      <c r="U38">
        <f>+sum_sheet!T48*'Equivalence Factor'!$L48</f>
        <v>0</v>
      </c>
      <c r="V38">
        <f>+sum_sheet!U48*'Equivalence Factor'!$L48</f>
        <v>0</v>
      </c>
      <c r="W38">
        <f>+sum_sheet!V48*'Equivalence Factor'!$L48</f>
        <v>0</v>
      </c>
      <c r="X38">
        <f>+sum_sheet!W48*'Equivalence Factor'!$L48</f>
        <v>0</v>
      </c>
      <c r="Y38">
        <f>+sum_sheet!X48*'Equivalence Factor'!$L48</f>
        <v>0</v>
      </c>
      <c r="Z38">
        <f>+sum_sheet!Y48*'Equivalence Factor'!$L48</f>
        <v>0</v>
      </c>
      <c r="AA38">
        <f>+sum_sheet!Z48*'Equivalence Factor'!$L48</f>
        <v>0</v>
      </c>
      <c r="AB38">
        <f>+sum_sheet!AA48*'Equivalence Factor'!$L48</f>
        <v>0</v>
      </c>
      <c r="AC38">
        <f>+sum_sheet!AB48*'Equivalence Factor'!$L48</f>
        <v>0</v>
      </c>
      <c r="AD38">
        <f>+sum_sheet!AC48*'Equivalence Factor'!$L48</f>
        <v>0</v>
      </c>
      <c r="AE38">
        <f>+sum_sheet!AD48*'Equivalence Factor'!$L48</f>
        <v>0</v>
      </c>
      <c r="AF38">
        <f>+sum_sheet!AE48*'Equivalence Factor'!$L48</f>
        <v>0</v>
      </c>
      <c r="AG38">
        <f>+sum_sheet!AF48*'Equivalence Factor'!$L48</f>
        <v>0</v>
      </c>
      <c r="AH38">
        <f>+sum_sheet!AG48*'Equivalence Factor'!$L48</f>
        <v>0</v>
      </c>
      <c r="AI38">
        <f>+sum_sheet!AH48*'Equivalence Factor'!$L48</f>
        <v>0</v>
      </c>
      <c r="AJ38">
        <f>+sum_sheet!AI48*'Equivalence Factor'!$L48</f>
        <v>0</v>
      </c>
      <c r="AK38">
        <f>+sum_sheet!AJ48*'Equivalence Factor'!$L48</f>
        <v>0</v>
      </c>
      <c r="AL38">
        <f>+sum_sheet!AK48*'Equivalence Factor'!$L48</f>
        <v>0</v>
      </c>
      <c r="AM38">
        <f>+sum_sheet!AL48*'Equivalence Factor'!$L48</f>
        <v>0</v>
      </c>
      <c r="AN38">
        <f>+sum_sheet!AM48*'Equivalence Factor'!$L48</f>
        <v>0</v>
      </c>
      <c r="AO38">
        <f>+sum_sheet!AN48*'Equivalence Factor'!$L48</f>
        <v>0</v>
      </c>
      <c r="AP38">
        <f>+sum_sheet!AO48*'Equivalence Factor'!$L48</f>
        <v>0</v>
      </c>
      <c r="AQ38">
        <f>+sum_sheet!AP48*'Equivalence Factor'!$L48</f>
        <v>0</v>
      </c>
      <c r="AR38">
        <f>+sum_sheet!AQ48*'Equivalence Factor'!$L48</f>
        <v>0</v>
      </c>
      <c r="AS38">
        <f>+sum_sheet!AR48*'Equivalence Factor'!$L48</f>
        <v>0</v>
      </c>
      <c r="AT38">
        <f>+sum_sheet!AS48*'Equivalence Factor'!$L48</f>
        <v>0</v>
      </c>
    </row>
    <row r="39" spans="1:46" x14ac:dyDescent="0.2">
      <c r="A39" s="3" t="s">
        <v>135</v>
      </c>
      <c r="B39" t="s">
        <v>333</v>
      </c>
      <c r="C39" s="3" t="s">
        <v>163</v>
      </c>
      <c r="D39" s="3" t="s">
        <v>161</v>
      </c>
      <c r="E39" s="3" t="s">
        <v>162</v>
      </c>
      <c r="F39" s="3">
        <v>1</v>
      </c>
      <c r="G39" s="3" t="s">
        <v>18</v>
      </c>
      <c r="H39" s="3" t="s">
        <v>14</v>
      </c>
      <c r="I39" s="3" t="s">
        <v>112</v>
      </c>
      <c r="J39" s="6" t="s">
        <v>294</v>
      </c>
      <c r="K39" s="3" t="s">
        <v>299</v>
      </c>
      <c r="L39" s="3" t="s">
        <v>164</v>
      </c>
      <c r="M39" s="4" t="s">
        <v>170</v>
      </c>
      <c r="O39">
        <f>+sum_sheet!N49*'Equivalence Factor'!$L49</f>
        <v>0.58433554990750514</v>
      </c>
      <c r="P39">
        <f>+sum_sheet!O49*'Equivalence Factor'!$L49</f>
        <v>0.5623621905290459</v>
      </c>
      <c r="Q39">
        <f>+sum_sheet!P49*'Equivalence Factor'!$L49</f>
        <v>0.58811473610863285</v>
      </c>
      <c r="R39">
        <f>+sum_sheet!Q49*'Equivalence Factor'!$L49</f>
        <v>0.65803163061792391</v>
      </c>
      <c r="S39">
        <f>+sum_sheet!R49*'Equivalence Factor'!$L49</f>
        <v>0.80197623286808295</v>
      </c>
      <c r="T39">
        <f>+sum_sheet!S49*'Equivalence Factor'!$L49</f>
        <v>1.1018888187145031</v>
      </c>
      <c r="U39">
        <f>+sum_sheet!T49*'Equivalence Factor'!$L49</f>
        <v>1.2962931214817728</v>
      </c>
      <c r="V39">
        <f>+sum_sheet!U49*'Equivalence Factor'!$L49</f>
        <v>1.475690941521312</v>
      </c>
      <c r="W39">
        <f>+sum_sheet!V49*'Equivalence Factor'!$L49</f>
        <v>1.5581909901482054</v>
      </c>
      <c r="X39">
        <f>+sum_sheet!W49*'Equivalence Factor'!$L49</f>
        <v>1.7165611429608654</v>
      </c>
      <c r="Y39">
        <f>+sum_sheet!X49*'Equivalence Factor'!$L49</f>
        <v>1.8307684658799748</v>
      </c>
      <c r="Z39">
        <f>+sum_sheet!Y49*'Equivalence Factor'!$L49</f>
        <v>1.9195241804158245</v>
      </c>
      <c r="AA39">
        <f>+sum_sheet!Z49*'Equivalence Factor'!$L49</f>
        <v>1.993241940144221</v>
      </c>
      <c r="AB39">
        <f>+sum_sheet!AA49*'Equivalence Factor'!$L49</f>
        <v>2.0621068894876196</v>
      </c>
      <c r="AC39">
        <f>+sum_sheet!AB49*'Equivalence Factor'!$L49</f>
        <v>2.131247788445441</v>
      </c>
      <c r="AD39">
        <f>+sum_sheet!AC49*'Equivalence Factor'!$L49</f>
        <v>2.1838955003599949</v>
      </c>
      <c r="AE39">
        <f>+sum_sheet!AD49*'Equivalence Factor'!$L49</f>
        <v>2.1549405980773444</v>
      </c>
      <c r="AF39">
        <f>+sum_sheet!AE49*'Equivalence Factor'!$L49</f>
        <v>2.2689553894351673</v>
      </c>
      <c r="AG39">
        <f>+sum_sheet!AF49*'Equivalence Factor'!$L49</f>
        <v>2.3930593741533195</v>
      </c>
      <c r="AH39">
        <f>+sum_sheet!AG49*'Equivalence Factor'!$L49</f>
        <v>2.8350522333891348</v>
      </c>
      <c r="AI39">
        <f>+sum_sheet!AH49*'Equivalence Factor'!$L49</f>
        <v>2.9469558921120793</v>
      </c>
      <c r="AJ39">
        <f>+sum_sheet!AI49*'Equivalence Factor'!$L49</f>
        <v>3.2248693180157466</v>
      </c>
      <c r="AK39">
        <f>+sum_sheet!AJ49*'Equivalence Factor'!$L49</f>
        <v>2.7035984581056969</v>
      </c>
      <c r="AL39">
        <f>+sum_sheet!AK49*'Equivalence Factor'!$L49</f>
        <v>2.6953254464676579</v>
      </c>
      <c r="AM39">
        <f>+sum_sheet!AL49*'Equivalence Factor'!$L49</f>
        <v>2.767432447084464</v>
      </c>
      <c r="AN39">
        <f>+sum_sheet!AM49*'Equivalence Factor'!$L49</f>
        <v>2.8651736314510083</v>
      </c>
      <c r="AO39">
        <f>+sum_sheet!AN49*'Equivalence Factor'!$L49</f>
        <v>2.9067654930086779</v>
      </c>
      <c r="AP39">
        <f>+sum_sheet!AO49*'Equivalence Factor'!$L49</f>
        <v>2.9918559508756002</v>
      </c>
      <c r="AQ39">
        <f>+sum_sheet!AP49*'Equivalence Factor'!$L49</f>
        <v>3.0051626701664609</v>
      </c>
      <c r="AR39">
        <f>+sum_sheet!AQ49*'Equivalence Factor'!$L49</f>
        <v>2.9132790722259032</v>
      </c>
      <c r="AS39">
        <f>+sum_sheet!AR49*'Equivalence Factor'!$L49</f>
        <v>3.3346068956081627</v>
      </c>
      <c r="AT39">
        <f>+sum_sheet!AS49*'Equivalence Factor'!$L49</f>
        <v>3.4427407780074781</v>
      </c>
    </row>
    <row r="40" spans="1:46" x14ac:dyDescent="0.2">
      <c r="A40" s="3" t="s">
        <v>135</v>
      </c>
      <c r="B40" t="s">
        <v>333</v>
      </c>
      <c r="C40" s="3" t="s">
        <v>9</v>
      </c>
      <c r="D40" s="3" t="s">
        <v>136</v>
      </c>
      <c r="E40" s="3" t="s">
        <v>137</v>
      </c>
      <c r="F40" s="3">
        <v>1</v>
      </c>
      <c r="G40" s="3" t="s">
        <v>18</v>
      </c>
      <c r="H40" s="3" t="s">
        <v>14</v>
      </c>
      <c r="I40" s="3" t="s">
        <v>112</v>
      </c>
      <c r="J40" s="6" t="s">
        <v>294</v>
      </c>
      <c r="K40" s="3" t="s">
        <v>113</v>
      </c>
      <c r="L40" s="7" t="s">
        <v>138</v>
      </c>
      <c r="M40" s="4">
        <v>5</v>
      </c>
      <c r="O40">
        <f>+sum_sheet!N50*'Equivalence Factor'!$L50</f>
        <v>0</v>
      </c>
      <c r="P40">
        <f>+sum_sheet!O50*'Equivalence Factor'!$L50</f>
        <v>0</v>
      </c>
      <c r="Q40">
        <f>+sum_sheet!P50*'Equivalence Factor'!$L50</f>
        <v>0</v>
      </c>
      <c r="R40">
        <f>+sum_sheet!Q50*'Equivalence Factor'!$L50</f>
        <v>0</v>
      </c>
      <c r="S40">
        <f>+sum_sheet!R50*'Equivalence Factor'!$L50</f>
        <v>0</v>
      </c>
      <c r="T40">
        <f>+sum_sheet!S50*'Equivalence Factor'!$L50</f>
        <v>0</v>
      </c>
      <c r="U40">
        <f>+sum_sheet!T50*'Equivalence Factor'!$L50</f>
        <v>0</v>
      </c>
      <c r="V40">
        <f>+sum_sheet!U50*'Equivalence Factor'!$L50</f>
        <v>0</v>
      </c>
      <c r="W40">
        <f>+sum_sheet!V50*'Equivalence Factor'!$L50</f>
        <v>0</v>
      </c>
      <c r="X40">
        <f>+sum_sheet!W50*'Equivalence Factor'!$L50</f>
        <v>0</v>
      </c>
      <c r="Y40">
        <f>+sum_sheet!X50*'Equivalence Factor'!$L50</f>
        <v>0</v>
      </c>
      <c r="Z40">
        <f>+sum_sheet!Y50*'Equivalence Factor'!$L50</f>
        <v>0</v>
      </c>
      <c r="AA40">
        <f>+sum_sheet!Z50*'Equivalence Factor'!$L50</f>
        <v>0</v>
      </c>
      <c r="AB40">
        <f>+sum_sheet!AA50*'Equivalence Factor'!$L50</f>
        <v>0</v>
      </c>
      <c r="AC40">
        <f>+sum_sheet!AB50*'Equivalence Factor'!$L50</f>
        <v>0</v>
      </c>
      <c r="AD40">
        <f>+sum_sheet!AC50*'Equivalence Factor'!$L50</f>
        <v>0</v>
      </c>
      <c r="AE40">
        <f>+sum_sheet!AD50*'Equivalence Factor'!$L50</f>
        <v>0</v>
      </c>
      <c r="AF40">
        <f>+sum_sheet!AE50*'Equivalence Factor'!$L50</f>
        <v>0</v>
      </c>
      <c r="AG40">
        <f>+sum_sheet!AF50*'Equivalence Factor'!$L50</f>
        <v>0</v>
      </c>
      <c r="AH40">
        <f>+sum_sheet!AG50*'Equivalence Factor'!$L50</f>
        <v>0</v>
      </c>
      <c r="AI40">
        <f>+sum_sheet!AH50*'Equivalence Factor'!$L50</f>
        <v>0</v>
      </c>
      <c r="AJ40">
        <f>+sum_sheet!AI50*'Equivalence Factor'!$L50</f>
        <v>0</v>
      </c>
      <c r="AK40">
        <f>+sum_sheet!AJ50*'Equivalence Factor'!$L50</f>
        <v>0</v>
      </c>
      <c r="AL40">
        <f>+sum_sheet!AK50*'Equivalence Factor'!$L50</f>
        <v>0</v>
      </c>
      <c r="AM40">
        <f>+sum_sheet!AL50*'Equivalence Factor'!$L50</f>
        <v>0</v>
      </c>
      <c r="AN40">
        <f>+sum_sheet!AM50*'Equivalence Factor'!$L50</f>
        <v>0</v>
      </c>
      <c r="AO40">
        <f>+sum_sheet!AN50*'Equivalence Factor'!$L50</f>
        <v>0</v>
      </c>
      <c r="AP40">
        <f>+sum_sheet!AO50*'Equivalence Factor'!$L50</f>
        <v>0</v>
      </c>
      <c r="AQ40">
        <f>+sum_sheet!AP50*'Equivalence Factor'!$L50</f>
        <v>0</v>
      </c>
      <c r="AR40">
        <f>+sum_sheet!AQ50*'Equivalence Factor'!$L50</f>
        <v>0</v>
      </c>
      <c r="AS40">
        <f>+sum_sheet!AR50*'Equivalence Factor'!$L50</f>
        <v>0</v>
      </c>
      <c r="AT40">
        <f>+sum_sheet!AS50*'Equivalence Factor'!$L50</f>
        <v>0</v>
      </c>
    </row>
    <row r="41" spans="1:46" x14ac:dyDescent="0.2">
      <c r="A41" s="3" t="s">
        <v>135</v>
      </c>
      <c r="B41" t="s">
        <v>333</v>
      </c>
      <c r="C41" s="3" t="s">
        <v>9</v>
      </c>
      <c r="D41" s="3" t="s">
        <v>143</v>
      </c>
      <c r="E41" s="3" t="s">
        <v>137</v>
      </c>
      <c r="F41" s="3">
        <v>1</v>
      </c>
      <c r="G41" s="3" t="s">
        <v>18</v>
      </c>
      <c r="H41" s="3" t="s">
        <v>14</v>
      </c>
      <c r="I41" s="3" t="s">
        <v>112</v>
      </c>
      <c r="J41" s="6" t="s">
        <v>294</v>
      </c>
      <c r="K41" s="3" t="s">
        <v>113</v>
      </c>
      <c r="L41" s="7" t="s">
        <v>144</v>
      </c>
      <c r="M41" s="4">
        <v>8</v>
      </c>
      <c r="O41">
        <f>+sum_sheet!N51*'Equivalence Factor'!$L51</f>
        <v>4.5814913226544102E-2</v>
      </c>
      <c r="P41">
        <f>+sum_sheet!O51*'Equivalence Factor'!$L51</f>
        <v>4.3809854630404009E-2</v>
      </c>
      <c r="Q41">
        <f>+sum_sheet!P51*'Equivalence Factor'!$L51</f>
        <v>4.3463384371789107E-2</v>
      </c>
      <c r="R41">
        <f>+sum_sheet!Q51*'Equivalence Factor'!$L51</f>
        <v>4.3363464505431985E-2</v>
      </c>
      <c r="S41">
        <f>+sum_sheet!R51*'Equivalence Factor'!$L51</f>
        <v>4.2916794111532666E-2</v>
      </c>
      <c r="T41">
        <f>+sum_sheet!S51*'Equivalence Factor'!$L51</f>
        <v>4.4324551658515524E-2</v>
      </c>
      <c r="U41">
        <f>+sum_sheet!T51*'Equivalence Factor'!$L51</f>
        <v>4.3338716159257849E-2</v>
      </c>
      <c r="V41">
        <f>+sum_sheet!U51*'Equivalence Factor'!$L51</f>
        <v>4.3640695122351011E-2</v>
      </c>
      <c r="W41">
        <f>+sum_sheet!V51*'Equivalence Factor'!$L51</f>
        <v>4.3788287419497661E-2</v>
      </c>
      <c r="X41">
        <f>+sum_sheet!W51*'Equivalence Factor'!$L51</f>
        <v>4.2647279408137027E-2</v>
      </c>
      <c r="Y41">
        <f>+sum_sheet!X51*'Equivalence Factor'!$L51</f>
        <v>4.2047238357512833E-2</v>
      </c>
      <c r="Z41">
        <f>+sum_sheet!Y51*'Equivalence Factor'!$L51</f>
        <v>4.1591734093455901E-2</v>
      </c>
      <c r="AA41">
        <f>+sum_sheet!Z51*'Equivalence Factor'!$L51</f>
        <v>4.1708583868028892E-2</v>
      </c>
      <c r="AB41">
        <f>+sum_sheet!AA51*'Equivalence Factor'!$L51</f>
        <v>4.0543879590048994E-2</v>
      </c>
      <c r="AC41">
        <f>+sum_sheet!AB51*'Equivalence Factor'!$L51</f>
        <v>4.0370142359548424E-2</v>
      </c>
      <c r="AD41">
        <f>+sum_sheet!AC51*'Equivalence Factor'!$L51</f>
        <v>3.9809161583779597E-2</v>
      </c>
      <c r="AE41">
        <f>+sum_sheet!AD51*'Equivalence Factor'!$L51</f>
        <v>3.6534377948925056E-2</v>
      </c>
      <c r="AF41">
        <f>+sum_sheet!AE51*'Equivalence Factor'!$L51</f>
        <v>3.5813223658513575E-2</v>
      </c>
      <c r="AG41">
        <f>+sum_sheet!AF51*'Equivalence Factor'!$L51</f>
        <v>3.4485578639958943E-2</v>
      </c>
      <c r="AH41">
        <f>+sum_sheet!AG51*'Equivalence Factor'!$L51</f>
        <v>3.0484765672762287E-2</v>
      </c>
      <c r="AI41">
        <f>+sum_sheet!AH51*'Equivalence Factor'!$L51</f>
        <v>3.2180920395175276E-2</v>
      </c>
      <c r="AJ41">
        <f>+sum_sheet!AI51*'Equivalence Factor'!$L51</f>
        <v>3.1347244304584937E-2</v>
      </c>
      <c r="AK41">
        <f>+sum_sheet!AJ51*'Equivalence Factor'!$L51</f>
        <v>3.0819108695683481E-2</v>
      </c>
      <c r="AL41">
        <f>+sum_sheet!AK51*'Equivalence Factor'!$L51</f>
        <v>3.1063382265263742E-2</v>
      </c>
      <c r="AM41">
        <f>+sum_sheet!AL51*'Equivalence Factor'!$L51</f>
        <v>3.1271832309985891E-2</v>
      </c>
      <c r="AN41">
        <f>+sum_sheet!AM51*'Equivalence Factor'!$L51</f>
        <v>3.0084144913605355E-2</v>
      </c>
      <c r="AO41">
        <f>+sum_sheet!AN51*'Equivalence Factor'!$L51</f>
        <v>3.0776563750117988E-2</v>
      </c>
      <c r="AP41">
        <f>+sum_sheet!AO51*'Equivalence Factor'!$L51</f>
        <v>2.9291484547769687E-2</v>
      </c>
      <c r="AQ41">
        <f>+sum_sheet!AP51*'Equivalence Factor'!$L51</f>
        <v>2.876036597545931E-2</v>
      </c>
      <c r="AR41">
        <f>+sum_sheet!AQ51*'Equivalence Factor'!$L51</f>
        <v>2.7773430385667555E-2</v>
      </c>
      <c r="AS41">
        <f>+sum_sheet!AR51*'Equivalence Factor'!$L51</f>
        <v>2.58530278326695E-2</v>
      </c>
      <c r="AT41">
        <f>+sum_sheet!AS51*'Equivalence Factor'!$L51</f>
        <v>2.6851186427812909E-2</v>
      </c>
    </row>
    <row r="42" spans="1:46" x14ac:dyDescent="0.2">
      <c r="A42" s="3" t="s">
        <v>135</v>
      </c>
      <c r="B42" t="s">
        <v>333</v>
      </c>
      <c r="C42" s="3" t="s">
        <v>9</v>
      </c>
      <c r="D42" s="3" t="s">
        <v>141</v>
      </c>
      <c r="E42" s="3" t="s">
        <v>137</v>
      </c>
      <c r="F42" s="3">
        <v>1</v>
      </c>
      <c r="G42" s="3" t="s">
        <v>18</v>
      </c>
      <c r="H42" s="3" t="s">
        <v>14</v>
      </c>
      <c r="I42" s="3" t="s">
        <v>112</v>
      </c>
      <c r="J42" s="6" t="s">
        <v>294</v>
      </c>
      <c r="K42" s="3" t="s">
        <v>113</v>
      </c>
      <c r="L42" s="7" t="s">
        <v>142</v>
      </c>
      <c r="M42" s="4">
        <v>6</v>
      </c>
      <c r="O42">
        <f>+sum_sheet!N52*'Equivalence Factor'!$L52</f>
        <v>5.9063735968548942E-2</v>
      </c>
      <c r="P42">
        <f>+sum_sheet!O52*'Equivalence Factor'!$L52</f>
        <v>0</v>
      </c>
      <c r="Q42">
        <f>+sum_sheet!P52*'Equivalence Factor'!$L52</f>
        <v>0</v>
      </c>
      <c r="R42">
        <f>+sum_sheet!Q52*'Equivalence Factor'!$L52</f>
        <v>8.4888618842455035E-2</v>
      </c>
      <c r="S42">
        <f>+sum_sheet!R52*'Equivalence Factor'!$L52</f>
        <v>7.6384299395626756E-2</v>
      </c>
      <c r="T42">
        <f>+sum_sheet!S52*'Equivalence Factor'!$L52</f>
        <v>8.6407971323965507E-2</v>
      </c>
      <c r="U42">
        <f>+sum_sheet!T52*'Equivalence Factor'!$L52</f>
        <v>7.8683651952622974E-2</v>
      </c>
      <c r="V42">
        <f>+sum_sheet!U52*'Equivalence Factor'!$L52</f>
        <v>8.6428289174311931E-2</v>
      </c>
      <c r="W42">
        <f>+sum_sheet!V52*'Equivalence Factor'!$L52</f>
        <v>8.7046680046693567E-2</v>
      </c>
      <c r="X42">
        <f>+sum_sheet!W52*'Equivalence Factor'!$L52</f>
        <v>8.4155783632751294E-2</v>
      </c>
      <c r="Y42">
        <f>+sum_sheet!X52*'Equivalence Factor'!$L52</f>
        <v>7.7987943380076294E-2</v>
      </c>
      <c r="Z42">
        <f>+sum_sheet!Y52*'Equivalence Factor'!$L52</f>
        <v>0</v>
      </c>
      <c r="AA42">
        <f>+sum_sheet!Z52*'Equivalence Factor'!$L52</f>
        <v>0</v>
      </c>
      <c r="AB42">
        <f>+sum_sheet!AA52*'Equivalence Factor'!$L52</f>
        <v>0</v>
      </c>
      <c r="AC42">
        <f>+sum_sheet!AB52*'Equivalence Factor'!$L52</f>
        <v>0</v>
      </c>
      <c r="AD42">
        <f>+sum_sheet!AC52*'Equivalence Factor'!$L52</f>
        <v>0</v>
      </c>
      <c r="AE42">
        <f>+sum_sheet!AD52*'Equivalence Factor'!$L52</f>
        <v>0</v>
      </c>
      <c r="AF42">
        <f>+sum_sheet!AE52*'Equivalence Factor'!$L52</f>
        <v>0</v>
      </c>
      <c r="AG42">
        <f>+sum_sheet!AF52*'Equivalence Factor'!$L52</f>
        <v>0</v>
      </c>
      <c r="AH42">
        <f>+sum_sheet!AG52*'Equivalence Factor'!$L52</f>
        <v>0.11929823099819686</v>
      </c>
      <c r="AI42">
        <f>+sum_sheet!AH52*'Equivalence Factor'!$L52</f>
        <v>0.13859840740488666</v>
      </c>
      <c r="AJ42">
        <f>+sum_sheet!AI52*'Equivalence Factor'!$L52</f>
        <v>0.11370506674173135</v>
      </c>
      <c r="AK42">
        <f>+sum_sheet!AJ52*'Equivalence Factor'!$L52</f>
        <v>0.11573314197530293</v>
      </c>
      <c r="AL42">
        <f>+sum_sheet!AK52*'Equivalence Factor'!$L52</f>
        <v>0.12156126488508631</v>
      </c>
      <c r="AM42">
        <f>+sum_sheet!AL52*'Equivalence Factor'!$L52</f>
        <v>0.12684296329278802</v>
      </c>
      <c r="AN42">
        <f>+sum_sheet!AM52*'Equivalence Factor'!$L52</f>
        <v>0.12051463287760036</v>
      </c>
      <c r="AO42">
        <f>+sum_sheet!AN52*'Equivalence Factor'!$L52</f>
        <v>0.12563025221828092</v>
      </c>
      <c r="AP42">
        <f>+sum_sheet!AO52*'Equivalence Factor'!$L52</f>
        <v>0.12137857152415203</v>
      </c>
      <c r="AQ42">
        <f>+sum_sheet!AP52*'Equivalence Factor'!$L52</f>
        <v>0.12400923952134697</v>
      </c>
      <c r="AR42">
        <f>+sum_sheet!AQ52*'Equivalence Factor'!$L52</f>
        <v>0.13305787018074525</v>
      </c>
      <c r="AS42">
        <f>+sum_sheet!AR52*'Equivalence Factor'!$L52</f>
        <v>0.1252520625503</v>
      </c>
      <c r="AT42">
        <f>+sum_sheet!AS52*'Equivalence Factor'!$L52</f>
        <v>0.13370237170176086</v>
      </c>
    </row>
    <row r="43" spans="1:46" x14ac:dyDescent="0.2">
      <c r="A43" s="3" t="s">
        <v>135</v>
      </c>
      <c r="B43" t="s">
        <v>333</v>
      </c>
      <c r="C43" s="3" t="s">
        <v>9</v>
      </c>
      <c r="D43" s="3" t="s">
        <v>139</v>
      </c>
      <c r="E43" s="3" t="s">
        <v>137</v>
      </c>
      <c r="F43" s="3">
        <v>1</v>
      </c>
      <c r="G43" s="3" t="s">
        <v>18</v>
      </c>
      <c r="H43" s="3" t="s">
        <v>14</v>
      </c>
      <c r="I43" s="3" t="s">
        <v>112</v>
      </c>
      <c r="J43" s="6" t="s">
        <v>294</v>
      </c>
      <c r="K43" s="3" t="s">
        <v>113</v>
      </c>
      <c r="L43" s="7" t="s">
        <v>300</v>
      </c>
      <c r="M43" s="4" t="s">
        <v>140</v>
      </c>
      <c r="O43">
        <f>+sum_sheet!N53*'Equivalence Factor'!$L53</f>
        <v>0</v>
      </c>
      <c r="P43">
        <f>+sum_sheet!O53*'Equivalence Factor'!$L53</f>
        <v>0</v>
      </c>
      <c r="Q43">
        <f>+sum_sheet!P53*'Equivalence Factor'!$L53</f>
        <v>0</v>
      </c>
      <c r="R43">
        <f>+sum_sheet!Q53*'Equivalence Factor'!$L53</f>
        <v>0</v>
      </c>
      <c r="S43">
        <f>+sum_sheet!R53*'Equivalence Factor'!$L53</f>
        <v>0</v>
      </c>
      <c r="T43">
        <f>+sum_sheet!S53*'Equivalence Factor'!$L53</f>
        <v>0</v>
      </c>
      <c r="U43">
        <f>+sum_sheet!T53*'Equivalence Factor'!$L53</f>
        <v>0</v>
      </c>
      <c r="V43">
        <f>+sum_sheet!U53*'Equivalence Factor'!$L53</f>
        <v>1.0889790706428717</v>
      </c>
      <c r="W43">
        <f>+sum_sheet!V53*'Equivalence Factor'!$L53</f>
        <v>1.1028993221500285</v>
      </c>
      <c r="X43">
        <f>+sum_sheet!W53*'Equivalence Factor'!$L53</f>
        <v>1.0312529313178398</v>
      </c>
      <c r="Y43">
        <f>+sum_sheet!X53*'Equivalence Factor'!$L53</f>
        <v>1.1468482118774732</v>
      </c>
      <c r="Z43">
        <f>+sum_sheet!Y53*'Equivalence Factor'!$L53</f>
        <v>1.2180926477045786</v>
      </c>
      <c r="AA43">
        <f>+sum_sheet!Z53*'Equivalence Factor'!$L53</f>
        <v>1.2290273017293958</v>
      </c>
      <c r="AB43">
        <f>+sum_sheet!AA53*'Equivalence Factor'!$L53</f>
        <v>1.3265280549164806</v>
      </c>
      <c r="AC43">
        <f>+sum_sheet!AB53*'Equivalence Factor'!$L53</f>
        <v>1.2354489502893617</v>
      </c>
      <c r="AD43">
        <f>+sum_sheet!AC53*'Equivalence Factor'!$L53</f>
        <v>1.0341066429754353</v>
      </c>
      <c r="AE43">
        <f>+sum_sheet!AD53*'Equivalence Factor'!$L53</f>
        <v>1.0209085113596168</v>
      </c>
      <c r="AF43">
        <f>+sum_sheet!AE53*'Equivalence Factor'!$L53</f>
        <v>1.0515053068300428</v>
      </c>
      <c r="AG43">
        <f>+sum_sheet!AF53*'Equivalence Factor'!$L53</f>
        <v>0.92368400622727465</v>
      </c>
      <c r="AH43">
        <f>+sum_sheet!AG53*'Equivalence Factor'!$L53</f>
        <v>0.55563645347059398</v>
      </c>
      <c r="AI43">
        <f>+sum_sheet!AH53*'Equivalence Factor'!$L53</f>
        <v>0.8168808170753904</v>
      </c>
      <c r="AJ43">
        <f>+sum_sheet!AI53*'Equivalence Factor'!$L53</f>
        <v>0.8168808170753904</v>
      </c>
      <c r="AK43">
        <f>+sum_sheet!AJ53*'Equivalence Factor'!$L53</f>
        <v>0.8168808170753904</v>
      </c>
      <c r="AL43">
        <f>+sum_sheet!AK53*'Equivalence Factor'!$L53</f>
        <v>0.8168808170753904</v>
      </c>
      <c r="AM43">
        <f>+sum_sheet!AL53*'Equivalence Factor'!$L53</f>
        <v>0.8168808170753904</v>
      </c>
      <c r="AN43">
        <f>+sum_sheet!AM53*'Equivalence Factor'!$L53</f>
        <v>0.8168808170753904</v>
      </c>
      <c r="AO43">
        <f>+sum_sheet!AN53*'Equivalence Factor'!$L53</f>
        <v>0.8168808170753904</v>
      </c>
      <c r="AP43">
        <f>+sum_sheet!AO53*'Equivalence Factor'!$L53</f>
        <v>0.8168808170753904</v>
      </c>
      <c r="AQ43">
        <f>+sum_sheet!AP53*'Equivalence Factor'!$L53</f>
        <v>0.8168808170753904</v>
      </c>
      <c r="AR43">
        <f>+sum_sheet!AQ53*'Equivalence Factor'!$L53</f>
        <v>0.8168808170753904</v>
      </c>
      <c r="AS43">
        <f>+sum_sheet!AR53*'Equivalence Factor'!$L53</f>
        <v>0.8168808170753904</v>
      </c>
      <c r="AT43">
        <f>+sum_sheet!AS53*'Equivalence Factor'!$L53</f>
        <v>0.8168808170753904</v>
      </c>
    </row>
    <row r="44" spans="1:46" x14ac:dyDescent="0.2">
      <c r="A44" s="3" t="s">
        <v>135</v>
      </c>
      <c r="B44" t="s">
        <v>333</v>
      </c>
      <c r="C44" s="3" t="s">
        <v>3</v>
      </c>
      <c r="D44" s="3" t="s">
        <v>145</v>
      </c>
      <c r="E44" s="3" t="s">
        <v>146</v>
      </c>
      <c r="F44" s="3">
        <v>1</v>
      </c>
      <c r="G44" s="3" t="s">
        <v>18</v>
      </c>
      <c r="H44" s="3" t="s">
        <v>14</v>
      </c>
      <c r="I44" s="3" t="s">
        <v>112</v>
      </c>
      <c r="J44" s="6" t="s">
        <v>294</v>
      </c>
      <c r="K44" s="3" t="s">
        <v>113</v>
      </c>
      <c r="L44" s="7" t="s">
        <v>147</v>
      </c>
      <c r="M44" s="4" t="s">
        <v>148</v>
      </c>
      <c r="O44">
        <f>+sum_sheet!N54*'Equivalence Factor'!$L54</f>
        <v>0</v>
      </c>
      <c r="P44">
        <f>+sum_sheet!O54*'Equivalence Factor'!$L54</f>
        <v>0</v>
      </c>
      <c r="Q44">
        <f>+sum_sheet!P54*'Equivalence Factor'!$L54</f>
        <v>0</v>
      </c>
      <c r="R44">
        <f>+sum_sheet!Q54*'Equivalence Factor'!$L54</f>
        <v>0</v>
      </c>
      <c r="S44">
        <f>+sum_sheet!R54*'Equivalence Factor'!$L54</f>
        <v>0</v>
      </c>
      <c r="T44">
        <f>+sum_sheet!S54*'Equivalence Factor'!$L54</f>
        <v>0</v>
      </c>
      <c r="U44">
        <f>+sum_sheet!T54*'Equivalence Factor'!$L54</f>
        <v>0</v>
      </c>
      <c r="V44">
        <f>+sum_sheet!U54*'Equivalence Factor'!$L54</f>
        <v>0</v>
      </c>
      <c r="W44">
        <f>+sum_sheet!V54*'Equivalence Factor'!$L54</f>
        <v>0</v>
      </c>
      <c r="X44">
        <f>+sum_sheet!W54*'Equivalence Factor'!$L54</f>
        <v>0</v>
      </c>
      <c r="Y44">
        <f>+sum_sheet!X54*'Equivalence Factor'!$L54</f>
        <v>0</v>
      </c>
      <c r="Z44">
        <f>+sum_sheet!Y54*'Equivalence Factor'!$L54</f>
        <v>0</v>
      </c>
      <c r="AA44">
        <f>+sum_sheet!Z54*'Equivalence Factor'!$L54</f>
        <v>0</v>
      </c>
      <c r="AB44">
        <f>+sum_sheet!AA54*'Equivalence Factor'!$L54</f>
        <v>0</v>
      </c>
      <c r="AC44">
        <f>+sum_sheet!AB54*'Equivalence Factor'!$L54</f>
        <v>0</v>
      </c>
      <c r="AD44">
        <f>+sum_sheet!AC54*'Equivalence Factor'!$L54</f>
        <v>0</v>
      </c>
      <c r="AE44">
        <f>+sum_sheet!AD54*'Equivalence Factor'!$L54</f>
        <v>0</v>
      </c>
      <c r="AF44">
        <f>+sum_sheet!AE54*'Equivalence Factor'!$L54</f>
        <v>0</v>
      </c>
      <c r="AG44">
        <f>+sum_sheet!AF54*'Equivalence Factor'!$L54</f>
        <v>0</v>
      </c>
      <c r="AH44">
        <f>+sum_sheet!AG54*'Equivalence Factor'!$L54</f>
        <v>0</v>
      </c>
      <c r="AI44">
        <f>+sum_sheet!AH54*'Equivalence Factor'!$L54</f>
        <v>0</v>
      </c>
      <c r="AJ44">
        <f>+sum_sheet!AI54*'Equivalence Factor'!$L54</f>
        <v>0</v>
      </c>
      <c r="AK44">
        <f>+sum_sheet!AJ54*'Equivalence Factor'!$L54</f>
        <v>0</v>
      </c>
      <c r="AL44">
        <f>+sum_sheet!AK54*'Equivalence Factor'!$L54</f>
        <v>0</v>
      </c>
      <c r="AM44">
        <f>+sum_sheet!AL54*'Equivalence Factor'!$L54</f>
        <v>0</v>
      </c>
      <c r="AN44">
        <f>+sum_sheet!AM54*'Equivalence Factor'!$L54</f>
        <v>0</v>
      </c>
      <c r="AO44">
        <f>+sum_sheet!AN54*'Equivalence Factor'!$L54</f>
        <v>0</v>
      </c>
      <c r="AP44">
        <f>+sum_sheet!AO54*'Equivalence Factor'!$L54</f>
        <v>0</v>
      </c>
      <c r="AQ44">
        <f>+sum_sheet!AP54*'Equivalence Factor'!$L54</f>
        <v>0</v>
      </c>
      <c r="AR44">
        <f>+sum_sheet!AQ54*'Equivalence Factor'!$L54</f>
        <v>0</v>
      </c>
      <c r="AS44">
        <f>+sum_sheet!AR54*'Equivalence Factor'!$L54</f>
        <v>0</v>
      </c>
      <c r="AT44">
        <f>+sum_sheet!AS54*'Equivalence Factor'!$L54</f>
        <v>0</v>
      </c>
    </row>
    <row r="45" spans="1:46" x14ac:dyDescent="0.2">
      <c r="A45" s="3" t="s">
        <v>135</v>
      </c>
      <c r="B45" t="s">
        <v>333</v>
      </c>
      <c r="C45" s="3" t="s">
        <v>17</v>
      </c>
      <c r="D45" s="3" t="s">
        <v>165</v>
      </c>
      <c r="E45" s="3" t="s">
        <v>166</v>
      </c>
      <c r="F45" s="3">
        <v>0</v>
      </c>
      <c r="G45" s="3" t="s">
        <v>0</v>
      </c>
      <c r="H45" s="3" t="s">
        <v>0</v>
      </c>
      <c r="I45" s="3" t="s">
        <v>0</v>
      </c>
      <c r="J45" s="3" t="s">
        <v>0</v>
      </c>
      <c r="K45" s="3" t="s">
        <v>0</v>
      </c>
      <c r="L45" s="3" t="s">
        <v>0</v>
      </c>
      <c r="M45" s="4">
        <v>-1</v>
      </c>
      <c r="O45">
        <f>+sum_sheet!N55*'Equivalence Factor'!$L55</f>
        <v>0</v>
      </c>
      <c r="P45">
        <f>+sum_sheet!O55*'Equivalence Factor'!$L55</f>
        <v>0</v>
      </c>
      <c r="Q45">
        <f>+sum_sheet!P55*'Equivalence Factor'!$L55</f>
        <v>0</v>
      </c>
      <c r="R45">
        <f>+sum_sheet!Q55*'Equivalence Factor'!$L55</f>
        <v>0</v>
      </c>
      <c r="S45">
        <f>+sum_sheet!R55*'Equivalence Factor'!$L55</f>
        <v>0</v>
      </c>
      <c r="T45">
        <f>+sum_sheet!S55*'Equivalence Factor'!$L55</f>
        <v>0</v>
      </c>
      <c r="U45">
        <f>+sum_sheet!T55*'Equivalence Factor'!$L55</f>
        <v>0</v>
      </c>
      <c r="V45">
        <f>+sum_sheet!U55*'Equivalence Factor'!$L55</f>
        <v>0</v>
      </c>
      <c r="W45">
        <f>+sum_sheet!V55*'Equivalence Factor'!$L55</f>
        <v>0</v>
      </c>
      <c r="X45">
        <f>+sum_sheet!W55*'Equivalence Factor'!$L55</f>
        <v>0</v>
      </c>
      <c r="Y45">
        <f>+sum_sheet!X55*'Equivalence Factor'!$L55</f>
        <v>0</v>
      </c>
      <c r="Z45">
        <f>+sum_sheet!Y55*'Equivalence Factor'!$L55</f>
        <v>0</v>
      </c>
      <c r="AA45">
        <f>+sum_sheet!Z55*'Equivalence Factor'!$L55</f>
        <v>0</v>
      </c>
      <c r="AB45">
        <f>+sum_sheet!AA55*'Equivalence Factor'!$L55</f>
        <v>0</v>
      </c>
      <c r="AC45">
        <f>+sum_sheet!AB55*'Equivalence Factor'!$L55</f>
        <v>0</v>
      </c>
      <c r="AD45">
        <f>+sum_sheet!AC55*'Equivalence Factor'!$L55</f>
        <v>0</v>
      </c>
      <c r="AE45">
        <f>+sum_sheet!AD55*'Equivalence Factor'!$L55</f>
        <v>0</v>
      </c>
      <c r="AF45">
        <f>+sum_sheet!AE55*'Equivalence Factor'!$L55</f>
        <v>0</v>
      </c>
      <c r="AG45">
        <f>+sum_sheet!AF55*'Equivalence Factor'!$L55</f>
        <v>0</v>
      </c>
      <c r="AH45">
        <f>+sum_sheet!AG55*'Equivalence Factor'!$L55</f>
        <v>0</v>
      </c>
      <c r="AI45">
        <f>+sum_sheet!AH55*'Equivalence Factor'!$L55</f>
        <v>0</v>
      </c>
      <c r="AJ45">
        <f>+sum_sheet!AI55*'Equivalence Factor'!$L55</f>
        <v>0</v>
      </c>
      <c r="AK45">
        <f>+sum_sheet!AJ55*'Equivalence Factor'!$L55</f>
        <v>0</v>
      </c>
      <c r="AL45">
        <f>+sum_sheet!AK55*'Equivalence Factor'!$L55</f>
        <v>0</v>
      </c>
      <c r="AM45">
        <f>+sum_sheet!AL55*'Equivalence Factor'!$L55</f>
        <v>0</v>
      </c>
      <c r="AN45">
        <f>+sum_sheet!AM55*'Equivalence Factor'!$L55</f>
        <v>0</v>
      </c>
      <c r="AO45">
        <f>+sum_sheet!AN55*'Equivalence Factor'!$L55</f>
        <v>0</v>
      </c>
      <c r="AP45">
        <f>+sum_sheet!AO55*'Equivalence Factor'!$L55</f>
        <v>0</v>
      </c>
      <c r="AQ45">
        <f>+sum_sheet!AP55*'Equivalence Factor'!$L55</f>
        <v>0</v>
      </c>
      <c r="AR45">
        <f>+sum_sheet!AQ55*'Equivalence Factor'!$L55</f>
        <v>0</v>
      </c>
      <c r="AS45">
        <f>+sum_sheet!AR55*'Equivalence Factor'!$L55</f>
        <v>0</v>
      </c>
      <c r="AT45">
        <f>+sum_sheet!AS55*'Equivalence Factor'!$L55</f>
        <v>0</v>
      </c>
    </row>
    <row r="46" spans="1:46" x14ac:dyDescent="0.2">
      <c r="A46" s="3" t="s">
        <v>135</v>
      </c>
      <c r="B46" t="s">
        <v>333</v>
      </c>
      <c r="C46" s="3" t="s">
        <v>17</v>
      </c>
      <c r="D46" s="3" t="s">
        <v>167</v>
      </c>
      <c r="E46" s="3" t="s">
        <v>166</v>
      </c>
      <c r="F46" s="3">
        <v>0</v>
      </c>
      <c r="G46" s="3" t="s">
        <v>0</v>
      </c>
      <c r="H46" s="3" t="s">
        <v>0</v>
      </c>
      <c r="I46" s="3" t="s">
        <v>0</v>
      </c>
      <c r="J46" s="3" t="s">
        <v>0</v>
      </c>
      <c r="K46" s="3" t="s">
        <v>0</v>
      </c>
      <c r="L46" s="3" t="s">
        <v>0</v>
      </c>
      <c r="M46" s="4">
        <v>-1</v>
      </c>
      <c r="O46">
        <f>+sum_sheet!N56*'Equivalence Factor'!$L56</f>
        <v>0</v>
      </c>
      <c r="P46">
        <f>+sum_sheet!O56*'Equivalence Factor'!$L56</f>
        <v>0</v>
      </c>
      <c r="Q46">
        <f>+sum_sheet!P56*'Equivalence Factor'!$L56</f>
        <v>0</v>
      </c>
      <c r="R46">
        <f>+sum_sheet!Q56*'Equivalence Factor'!$L56</f>
        <v>0</v>
      </c>
      <c r="S46">
        <f>+sum_sheet!R56*'Equivalence Factor'!$L56</f>
        <v>0</v>
      </c>
      <c r="T46">
        <f>+sum_sheet!S56*'Equivalence Factor'!$L56</f>
        <v>0</v>
      </c>
      <c r="U46">
        <f>+sum_sheet!T56*'Equivalence Factor'!$L56</f>
        <v>0</v>
      </c>
      <c r="V46">
        <f>+sum_sheet!U56*'Equivalence Factor'!$L56</f>
        <v>0</v>
      </c>
      <c r="W46">
        <f>+sum_sheet!V56*'Equivalence Factor'!$L56</f>
        <v>0</v>
      </c>
      <c r="X46">
        <f>+sum_sheet!W56*'Equivalence Factor'!$L56</f>
        <v>0</v>
      </c>
      <c r="Y46">
        <f>+sum_sheet!X56*'Equivalence Factor'!$L56</f>
        <v>0</v>
      </c>
      <c r="Z46">
        <f>+sum_sheet!Y56*'Equivalence Factor'!$L56</f>
        <v>0</v>
      </c>
      <c r="AA46">
        <f>+sum_sheet!Z56*'Equivalence Factor'!$L56</f>
        <v>0</v>
      </c>
      <c r="AB46">
        <f>+sum_sheet!AA56*'Equivalence Factor'!$L56</f>
        <v>0</v>
      </c>
      <c r="AC46">
        <f>+sum_sheet!AB56*'Equivalence Factor'!$L56</f>
        <v>0</v>
      </c>
      <c r="AD46">
        <f>+sum_sheet!AC56*'Equivalence Factor'!$L56</f>
        <v>0</v>
      </c>
      <c r="AE46">
        <f>+sum_sheet!AD56*'Equivalence Factor'!$L56</f>
        <v>0</v>
      </c>
      <c r="AF46">
        <f>+sum_sheet!AE56*'Equivalence Factor'!$L56</f>
        <v>0</v>
      </c>
      <c r="AG46">
        <f>+sum_sheet!AF56*'Equivalence Factor'!$L56</f>
        <v>0</v>
      </c>
      <c r="AH46">
        <f>+sum_sheet!AG56*'Equivalence Factor'!$L56</f>
        <v>0</v>
      </c>
      <c r="AI46">
        <f>+sum_sheet!AH56*'Equivalence Factor'!$L56</f>
        <v>0</v>
      </c>
      <c r="AJ46">
        <f>+sum_sheet!AI56*'Equivalence Factor'!$L56</f>
        <v>0</v>
      </c>
      <c r="AK46">
        <f>+sum_sheet!AJ56*'Equivalence Factor'!$L56</f>
        <v>0</v>
      </c>
      <c r="AL46">
        <f>+sum_sheet!AK56*'Equivalence Factor'!$L56</f>
        <v>0</v>
      </c>
      <c r="AM46">
        <f>+sum_sheet!AL56*'Equivalence Factor'!$L56</f>
        <v>0</v>
      </c>
      <c r="AN46">
        <f>+sum_sheet!AM56*'Equivalence Factor'!$L56</f>
        <v>0</v>
      </c>
      <c r="AO46">
        <f>+sum_sheet!AN56*'Equivalence Factor'!$L56</f>
        <v>0</v>
      </c>
      <c r="AP46">
        <f>+sum_sheet!AO56*'Equivalence Factor'!$L56</f>
        <v>0</v>
      </c>
      <c r="AQ46">
        <f>+sum_sheet!AP56*'Equivalence Factor'!$L56</f>
        <v>0</v>
      </c>
      <c r="AR46">
        <f>+sum_sheet!AQ56*'Equivalence Factor'!$L56</f>
        <v>0</v>
      </c>
      <c r="AS46">
        <f>+sum_sheet!AR56*'Equivalence Factor'!$L56</f>
        <v>0</v>
      </c>
      <c r="AT46">
        <f>+sum_sheet!AS56*'Equivalence Factor'!$L56</f>
        <v>0</v>
      </c>
    </row>
    <row r="47" spans="1:46" x14ac:dyDescent="0.2">
      <c r="A47" s="3" t="s">
        <v>135</v>
      </c>
      <c r="B47" t="s">
        <v>333</v>
      </c>
      <c r="C47" s="3" t="s">
        <v>17</v>
      </c>
      <c r="D47" s="3" t="s">
        <v>168</v>
      </c>
      <c r="E47" s="3" t="s">
        <v>166</v>
      </c>
      <c r="F47" s="3">
        <v>0</v>
      </c>
      <c r="G47" s="3" t="s">
        <v>0</v>
      </c>
      <c r="H47" s="3" t="s">
        <v>0</v>
      </c>
      <c r="I47" s="3" t="s">
        <v>0</v>
      </c>
      <c r="J47" s="3" t="s">
        <v>0</v>
      </c>
      <c r="K47" s="3" t="s">
        <v>0</v>
      </c>
      <c r="L47" s="3" t="s">
        <v>0</v>
      </c>
      <c r="M47" s="4">
        <v>-1</v>
      </c>
      <c r="O47">
        <f>+sum_sheet!N57*'Equivalence Factor'!$L57</f>
        <v>0</v>
      </c>
      <c r="P47">
        <f>+sum_sheet!O57*'Equivalence Factor'!$L57</f>
        <v>0</v>
      </c>
      <c r="Q47">
        <f>+sum_sheet!P57*'Equivalence Factor'!$L57</f>
        <v>0</v>
      </c>
      <c r="R47">
        <f>+sum_sheet!Q57*'Equivalence Factor'!$L57</f>
        <v>0</v>
      </c>
      <c r="S47">
        <f>+sum_sheet!R57*'Equivalence Factor'!$L57</f>
        <v>0</v>
      </c>
      <c r="T47">
        <f>+sum_sheet!S57*'Equivalence Factor'!$L57</f>
        <v>0</v>
      </c>
      <c r="U47">
        <f>+sum_sheet!T57*'Equivalence Factor'!$L57</f>
        <v>0</v>
      </c>
      <c r="V47">
        <f>+sum_sheet!U57*'Equivalence Factor'!$L57</f>
        <v>0</v>
      </c>
      <c r="W47">
        <f>+sum_sheet!V57*'Equivalence Factor'!$L57</f>
        <v>0</v>
      </c>
      <c r="X47">
        <f>+sum_sheet!W57*'Equivalence Factor'!$L57</f>
        <v>0</v>
      </c>
      <c r="Y47">
        <f>+sum_sheet!X57*'Equivalence Factor'!$L57</f>
        <v>0</v>
      </c>
      <c r="Z47">
        <f>+sum_sheet!Y57*'Equivalence Factor'!$L57</f>
        <v>0</v>
      </c>
      <c r="AA47">
        <f>+sum_sheet!Z57*'Equivalence Factor'!$L57</f>
        <v>0</v>
      </c>
      <c r="AB47">
        <f>+sum_sheet!AA57*'Equivalence Factor'!$L57</f>
        <v>0</v>
      </c>
      <c r="AC47">
        <f>+sum_sheet!AB57*'Equivalence Factor'!$L57</f>
        <v>0</v>
      </c>
      <c r="AD47">
        <f>+sum_sheet!AC57*'Equivalence Factor'!$L57</f>
        <v>0</v>
      </c>
      <c r="AE47">
        <f>+sum_sheet!AD57*'Equivalence Factor'!$L57</f>
        <v>0</v>
      </c>
      <c r="AF47">
        <f>+sum_sheet!AE57*'Equivalence Factor'!$L57</f>
        <v>0</v>
      </c>
      <c r="AG47">
        <f>+sum_sheet!AF57*'Equivalence Factor'!$L57</f>
        <v>0</v>
      </c>
      <c r="AH47">
        <f>+sum_sheet!AG57*'Equivalence Factor'!$L57</f>
        <v>0</v>
      </c>
      <c r="AI47">
        <f>+sum_sheet!AH57*'Equivalence Factor'!$L57</f>
        <v>0</v>
      </c>
      <c r="AJ47">
        <f>+sum_sheet!AI57*'Equivalence Factor'!$L57</f>
        <v>0</v>
      </c>
      <c r="AK47">
        <f>+sum_sheet!AJ57*'Equivalence Factor'!$L57</f>
        <v>0</v>
      </c>
      <c r="AL47">
        <f>+sum_sheet!AK57*'Equivalence Factor'!$L57</f>
        <v>0</v>
      </c>
      <c r="AM47">
        <f>+sum_sheet!AL57*'Equivalence Factor'!$L57</f>
        <v>0</v>
      </c>
      <c r="AN47">
        <f>+sum_sheet!AM57*'Equivalence Factor'!$L57</f>
        <v>0</v>
      </c>
      <c r="AO47">
        <f>+sum_sheet!AN57*'Equivalence Factor'!$L57</f>
        <v>0</v>
      </c>
      <c r="AP47">
        <f>+sum_sheet!AO57*'Equivalence Factor'!$L57</f>
        <v>0</v>
      </c>
      <c r="AQ47">
        <f>+sum_sheet!AP57*'Equivalence Factor'!$L57</f>
        <v>0</v>
      </c>
      <c r="AR47">
        <f>+sum_sheet!AQ57*'Equivalence Factor'!$L57</f>
        <v>0</v>
      </c>
      <c r="AS47">
        <f>+sum_sheet!AR57*'Equivalence Factor'!$L57</f>
        <v>0</v>
      </c>
      <c r="AT47">
        <f>+sum_sheet!AS57*'Equivalence Factor'!$L57</f>
        <v>0</v>
      </c>
    </row>
    <row r="48" spans="1:46" x14ac:dyDescent="0.2">
      <c r="A48" s="3" t="s">
        <v>135</v>
      </c>
      <c r="B48" t="s">
        <v>333</v>
      </c>
      <c r="C48" s="3" t="s">
        <v>17</v>
      </c>
      <c r="D48" s="3" t="s">
        <v>169</v>
      </c>
      <c r="E48" s="3" t="s">
        <v>166</v>
      </c>
      <c r="F48" s="3">
        <v>0</v>
      </c>
      <c r="G48" s="3" t="s">
        <v>0</v>
      </c>
      <c r="H48" s="3" t="s">
        <v>0</v>
      </c>
      <c r="I48" s="3" t="s">
        <v>0</v>
      </c>
      <c r="J48" s="3" t="s">
        <v>0</v>
      </c>
      <c r="K48" s="3" t="s">
        <v>0</v>
      </c>
      <c r="L48" s="3" t="s">
        <v>0</v>
      </c>
      <c r="M48" s="4">
        <v>-1</v>
      </c>
      <c r="O48">
        <f>+sum_sheet!N58*'Equivalence Factor'!$L58</f>
        <v>0</v>
      </c>
      <c r="P48">
        <f>+sum_sheet!O58*'Equivalence Factor'!$L58</f>
        <v>0</v>
      </c>
      <c r="Q48">
        <f>+sum_sheet!P58*'Equivalence Factor'!$L58</f>
        <v>0</v>
      </c>
      <c r="R48">
        <f>+sum_sheet!Q58*'Equivalence Factor'!$L58</f>
        <v>0</v>
      </c>
      <c r="S48">
        <f>+sum_sheet!R58*'Equivalence Factor'!$L58</f>
        <v>0</v>
      </c>
      <c r="T48">
        <f>+sum_sheet!S58*'Equivalence Factor'!$L58</f>
        <v>0</v>
      </c>
      <c r="U48">
        <f>+sum_sheet!T58*'Equivalence Factor'!$L58</f>
        <v>0</v>
      </c>
      <c r="V48">
        <f>+sum_sheet!U58*'Equivalence Factor'!$L58</f>
        <v>0</v>
      </c>
      <c r="W48">
        <f>+sum_sheet!V58*'Equivalence Factor'!$L58</f>
        <v>0</v>
      </c>
      <c r="X48">
        <f>+sum_sheet!W58*'Equivalence Factor'!$L58</f>
        <v>0</v>
      </c>
      <c r="Y48">
        <f>+sum_sheet!X58*'Equivalence Factor'!$L58</f>
        <v>0</v>
      </c>
      <c r="Z48">
        <f>+sum_sheet!Y58*'Equivalence Factor'!$L58</f>
        <v>0</v>
      </c>
      <c r="AA48">
        <f>+sum_sheet!Z58*'Equivalence Factor'!$L58</f>
        <v>0</v>
      </c>
      <c r="AB48">
        <f>+sum_sheet!AA58*'Equivalence Factor'!$L58</f>
        <v>0</v>
      </c>
      <c r="AC48">
        <f>+sum_sheet!AB58*'Equivalence Factor'!$L58</f>
        <v>0</v>
      </c>
      <c r="AD48">
        <f>+sum_sheet!AC58*'Equivalence Factor'!$L58</f>
        <v>0</v>
      </c>
      <c r="AE48">
        <f>+sum_sheet!AD58*'Equivalence Factor'!$L58</f>
        <v>0</v>
      </c>
      <c r="AF48">
        <f>+sum_sheet!AE58*'Equivalence Factor'!$L58</f>
        <v>0</v>
      </c>
      <c r="AG48">
        <f>+sum_sheet!AF58*'Equivalence Factor'!$L58</f>
        <v>0</v>
      </c>
      <c r="AH48">
        <f>+sum_sheet!AG58*'Equivalence Factor'!$L58</f>
        <v>0</v>
      </c>
      <c r="AI48">
        <f>+sum_sheet!AH58*'Equivalence Factor'!$L58</f>
        <v>0</v>
      </c>
      <c r="AJ48">
        <f>+sum_sheet!AI58*'Equivalence Factor'!$L58</f>
        <v>0</v>
      </c>
      <c r="AK48">
        <f>+sum_sheet!AJ58*'Equivalence Factor'!$L58</f>
        <v>0</v>
      </c>
      <c r="AL48">
        <f>+sum_sheet!AK58*'Equivalence Factor'!$L58</f>
        <v>0</v>
      </c>
      <c r="AM48">
        <f>+sum_sheet!AL58*'Equivalence Factor'!$L58</f>
        <v>0</v>
      </c>
      <c r="AN48">
        <f>+sum_sheet!AM58*'Equivalence Factor'!$L58</f>
        <v>0</v>
      </c>
      <c r="AO48">
        <f>+sum_sheet!AN58*'Equivalence Factor'!$L58</f>
        <v>0</v>
      </c>
      <c r="AP48">
        <f>+sum_sheet!AO58*'Equivalence Factor'!$L58</f>
        <v>0</v>
      </c>
      <c r="AQ48">
        <f>+sum_sheet!AP58*'Equivalence Factor'!$L58</f>
        <v>0</v>
      </c>
      <c r="AR48">
        <f>+sum_sheet!AQ58*'Equivalence Factor'!$L58</f>
        <v>0</v>
      </c>
      <c r="AS48">
        <f>+sum_sheet!AR58*'Equivalence Factor'!$L58</f>
        <v>0</v>
      </c>
      <c r="AT48">
        <f>+sum_sheet!AS58*'Equivalence Factor'!$L58</f>
        <v>0</v>
      </c>
    </row>
    <row r="49" spans="1:46" x14ac:dyDescent="0.2">
      <c r="A49" s="3" t="s">
        <v>135</v>
      </c>
      <c r="B49" t="s">
        <v>333</v>
      </c>
      <c r="C49" s="3" t="s">
        <v>9</v>
      </c>
      <c r="D49" s="3" t="s">
        <v>149</v>
      </c>
      <c r="E49" s="3" t="s">
        <v>150</v>
      </c>
      <c r="F49" s="3">
        <v>0</v>
      </c>
      <c r="G49" s="3" t="s">
        <v>0</v>
      </c>
      <c r="H49" s="3" t="s">
        <v>0</v>
      </c>
      <c r="I49" s="3" t="s">
        <v>0</v>
      </c>
      <c r="J49" s="3" t="s">
        <v>0</v>
      </c>
      <c r="K49" s="3" t="s">
        <v>0</v>
      </c>
      <c r="L49" s="3" t="s">
        <v>0</v>
      </c>
      <c r="M49" s="4">
        <v>-1</v>
      </c>
      <c r="O49">
        <f>+sum_sheet!N59*'Equivalence Factor'!$L59</f>
        <v>0</v>
      </c>
      <c r="P49">
        <f>+sum_sheet!O59*'Equivalence Factor'!$L59</f>
        <v>0</v>
      </c>
      <c r="Q49">
        <f>+sum_sheet!P59*'Equivalence Factor'!$L59</f>
        <v>0</v>
      </c>
      <c r="R49">
        <f>+sum_sheet!Q59*'Equivalence Factor'!$L59</f>
        <v>0</v>
      </c>
      <c r="S49">
        <f>+sum_sheet!R59*'Equivalence Factor'!$L59</f>
        <v>0</v>
      </c>
      <c r="T49">
        <f>+sum_sheet!S59*'Equivalence Factor'!$L59</f>
        <v>0</v>
      </c>
      <c r="U49">
        <f>+sum_sheet!T59*'Equivalence Factor'!$L59</f>
        <v>0</v>
      </c>
      <c r="V49">
        <f>+sum_sheet!U59*'Equivalence Factor'!$L59</f>
        <v>0</v>
      </c>
      <c r="W49">
        <f>+sum_sheet!V59*'Equivalence Factor'!$L59</f>
        <v>0</v>
      </c>
      <c r="X49">
        <f>+sum_sheet!W59*'Equivalence Factor'!$L59</f>
        <v>0</v>
      </c>
      <c r="Y49">
        <f>+sum_sheet!X59*'Equivalence Factor'!$L59</f>
        <v>0</v>
      </c>
      <c r="Z49">
        <f>+sum_sheet!Y59*'Equivalence Factor'!$L59</f>
        <v>0</v>
      </c>
      <c r="AA49">
        <f>+sum_sheet!Z59*'Equivalence Factor'!$L59</f>
        <v>0</v>
      </c>
      <c r="AB49">
        <f>+sum_sheet!AA59*'Equivalence Factor'!$L59</f>
        <v>0</v>
      </c>
      <c r="AC49">
        <f>+sum_sheet!AB59*'Equivalence Factor'!$L59</f>
        <v>0</v>
      </c>
      <c r="AD49">
        <f>+sum_sheet!AC59*'Equivalence Factor'!$L59</f>
        <v>0</v>
      </c>
      <c r="AE49">
        <f>+sum_sheet!AD59*'Equivalence Factor'!$L59</f>
        <v>0</v>
      </c>
      <c r="AF49">
        <f>+sum_sheet!AE59*'Equivalence Factor'!$L59</f>
        <v>0</v>
      </c>
      <c r="AG49">
        <f>+sum_sheet!AF59*'Equivalence Factor'!$L59</f>
        <v>0</v>
      </c>
      <c r="AH49">
        <f>+sum_sheet!AG59*'Equivalence Factor'!$L59</f>
        <v>0</v>
      </c>
      <c r="AI49">
        <f>+sum_sheet!AH59*'Equivalence Factor'!$L59</f>
        <v>0</v>
      </c>
      <c r="AJ49">
        <f>+sum_sheet!AI59*'Equivalence Factor'!$L59</f>
        <v>0</v>
      </c>
      <c r="AK49">
        <f>+sum_sheet!AJ59*'Equivalence Factor'!$L59</f>
        <v>0</v>
      </c>
      <c r="AL49">
        <f>+sum_sheet!AK59*'Equivalence Factor'!$L59</f>
        <v>0</v>
      </c>
      <c r="AM49">
        <f>+sum_sheet!AL59*'Equivalence Factor'!$L59</f>
        <v>0</v>
      </c>
      <c r="AN49">
        <f>+sum_sheet!AM59*'Equivalence Factor'!$L59</f>
        <v>0</v>
      </c>
      <c r="AO49">
        <f>+sum_sheet!AN59*'Equivalence Factor'!$L59</f>
        <v>0</v>
      </c>
      <c r="AP49">
        <f>+sum_sheet!AO59*'Equivalence Factor'!$L59</f>
        <v>0</v>
      </c>
      <c r="AQ49">
        <f>+sum_sheet!AP59*'Equivalence Factor'!$L59</f>
        <v>0</v>
      </c>
      <c r="AR49">
        <f>+sum_sheet!AQ59*'Equivalence Factor'!$L59</f>
        <v>0</v>
      </c>
      <c r="AS49">
        <f>+sum_sheet!AR59*'Equivalence Factor'!$L59</f>
        <v>0</v>
      </c>
      <c r="AT49">
        <f>+sum_sheet!AS59*'Equivalence Factor'!$L59</f>
        <v>0</v>
      </c>
    </row>
    <row r="50" spans="1:46" x14ac:dyDescent="0.2">
      <c r="A50" s="3" t="s">
        <v>135</v>
      </c>
      <c r="B50" t="s">
        <v>333</v>
      </c>
      <c r="C50" s="3" t="s">
        <v>9</v>
      </c>
      <c r="D50" s="3" t="s">
        <v>151</v>
      </c>
      <c r="E50" s="3" t="s">
        <v>150</v>
      </c>
      <c r="F50" s="3">
        <v>0</v>
      </c>
      <c r="G50" s="3" t="s">
        <v>0</v>
      </c>
      <c r="H50" s="3" t="s">
        <v>0</v>
      </c>
      <c r="I50" s="3" t="s">
        <v>0</v>
      </c>
      <c r="J50" s="3" t="s">
        <v>0</v>
      </c>
      <c r="K50" s="3" t="s">
        <v>0</v>
      </c>
      <c r="L50" s="3" t="s">
        <v>0</v>
      </c>
      <c r="M50" s="4">
        <v>-1</v>
      </c>
      <c r="O50">
        <f>+sum_sheet!N60*'Equivalence Factor'!$L60</f>
        <v>0</v>
      </c>
      <c r="P50">
        <f>+sum_sheet!O60*'Equivalence Factor'!$L60</f>
        <v>0</v>
      </c>
      <c r="Q50">
        <f>+sum_sheet!P60*'Equivalence Factor'!$L60</f>
        <v>0</v>
      </c>
      <c r="R50">
        <f>+sum_sheet!Q60*'Equivalence Factor'!$L60</f>
        <v>0</v>
      </c>
      <c r="S50">
        <f>+sum_sheet!R60*'Equivalence Factor'!$L60</f>
        <v>0</v>
      </c>
      <c r="T50">
        <f>+sum_sheet!S60*'Equivalence Factor'!$L60</f>
        <v>0</v>
      </c>
      <c r="U50">
        <f>+sum_sheet!T60*'Equivalence Factor'!$L60</f>
        <v>0</v>
      </c>
      <c r="V50">
        <f>+sum_sheet!U60*'Equivalence Factor'!$L60</f>
        <v>0</v>
      </c>
      <c r="W50">
        <f>+sum_sheet!V60*'Equivalence Factor'!$L60</f>
        <v>0</v>
      </c>
      <c r="X50">
        <f>+sum_sheet!W60*'Equivalence Factor'!$L60</f>
        <v>0</v>
      </c>
      <c r="Y50">
        <f>+sum_sheet!X60*'Equivalence Factor'!$L60</f>
        <v>0</v>
      </c>
      <c r="Z50">
        <f>+sum_sheet!Y60*'Equivalence Factor'!$L60</f>
        <v>0</v>
      </c>
      <c r="AA50">
        <f>+sum_sheet!Z60*'Equivalence Factor'!$L60</f>
        <v>0</v>
      </c>
      <c r="AB50">
        <f>+sum_sheet!AA60*'Equivalence Factor'!$L60</f>
        <v>0</v>
      </c>
      <c r="AC50">
        <f>+sum_sheet!AB60*'Equivalence Factor'!$L60</f>
        <v>0</v>
      </c>
      <c r="AD50">
        <f>+sum_sheet!AC60*'Equivalence Factor'!$L60</f>
        <v>0</v>
      </c>
      <c r="AE50">
        <f>+sum_sheet!AD60*'Equivalence Factor'!$L60</f>
        <v>0</v>
      </c>
      <c r="AF50">
        <f>+sum_sheet!AE60*'Equivalence Factor'!$L60</f>
        <v>0</v>
      </c>
      <c r="AG50">
        <f>+sum_sheet!AF60*'Equivalence Factor'!$L60</f>
        <v>0</v>
      </c>
      <c r="AH50">
        <f>+sum_sheet!AG60*'Equivalence Factor'!$L60</f>
        <v>0</v>
      </c>
      <c r="AI50">
        <f>+sum_sheet!AH60*'Equivalence Factor'!$L60</f>
        <v>0</v>
      </c>
      <c r="AJ50">
        <f>+sum_sheet!AI60*'Equivalence Factor'!$L60</f>
        <v>0</v>
      </c>
      <c r="AK50">
        <f>+sum_sheet!AJ60*'Equivalence Factor'!$L60</f>
        <v>0</v>
      </c>
      <c r="AL50">
        <f>+sum_sheet!AK60*'Equivalence Factor'!$L60</f>
        <v>0</v>
      </c>
      <c r="AM50">
        <f>+sum_sheet!AL60*'Equivalence Factor'!$L60</f>
        <v>0</v>
      </c>
      <c r="AN50">
        <f>+sum_sheet!AM60*'Equivalence Factor'!$L60</f>
        <v>0</v>
      </c>
      <c r="AO50">
        <f>+sum_sheet!AN60*'Equivalence Factor'!$L60</f>
        <v>0</v>
      </c>
      <c r="AP50">
        <f>+sum_sheet!AO60*'Equivalence Factor'!$L60</f>
        <v>0</v>
      </c>
      <c r="AQ50">
        <f>+sum_sheet!AP60*'Equivalence Factor'!$L60</f>
        <v>0</v>
      </c>
      <c r="AR50">
        <f>+sum_sheet!AQ60*'Equivalence Factor'!$L60</f>
        <v>0</v>
      </c>
      <c r="AS50">
        <f>+sum_sheet!AR60*'Equivalence Factor'!$L60</f>
        <v>0</v>
      </c>
      <c r="AT50">
        <f>+sum_sheet!AS60*'Equivalence Factor'!$L60</f>
        <v>0</v>
      </c>
    </row>
    <row r="51" spans="1:46" x14ac:dyDescent="0.2">
      <c r="A51" s="3" t="s">
        <v>135</v>
      </c>
      <c r="B51" t="s">
        <v>333</v>
      </c>
      <c r="C51" s="3" t="s">
        <v>9</v>
      </c>
      <c r="D51" s="3" t="s">
        <v>152</v>
      </c>
      <c r="E51" s="3" t="s">
        <v>150</v>
      </c>
      <c r="F51" s="3">
        <v>0</v>
      </c>
      <c r="G51" s="3" t="s">
        <v>0</v>
      </c>
      <c r="H51" s="3" t="s">
        <v>0</v>
      </c>
      <c r="I51" s="3" t="s">
        <v>0</v>
      </c>
      <c r="J51" s="3" t="s">
        <v>0</v>
      </c>
      <c r="K51" s="3" t="s">
        <v>0</v>
      </c>
      <c r="L51" s="3" t="s">
        <v>0</v>
      </c>
      <c r="M51" s="4">
        <v>-1</v>
      </c>
      <c r="O51">
        <f>+sum_sheet!N61*'Equivalence Factor'!$L61</f>
        <v>0</v>
      </c>
      <c r="P51">
        <f>+sum_sheet!O61*'Equivalence Factor'!$L61</f>
        <v>0</v>
      </c>
      <c r="Q51">
        <f>+sum_sheet!P61*'Equivalence Factor'!$L61</f>
        <v>0</v>
      </c>
      <c r="R51">
        <f>+sum_sheet!Q61*'Equivalence Factor'!$L61</f>
        <v>0</v>
      </c>
      <c r="S51">
        <f>+sum_sheet!R61*'Equivalence Factor'!$L61</f>
        <v>0</v>
      </c>
      <c r="T51">
        <f>+sum_sheet!S61*'Equivalence Factor'!$L61</f>
        <v>0</v>
      </c>
      <c r="U51">
        <f>+sum_sheet!T61*'Equivalence Factor'!$L61</f>
        <v>0</v>
      </c>
      <c r="V51">
        <f>+sum_sheet!U61*'Equivalence Factor'!$L61</f>
        <v>0</v>
      </c>
      <c r="W51">
        <f>+sum_sheet!V61*'Equivalence Factor'!$L61</f>
        <v>0</v>
      </c>
      <c r="X51">
        <f>+sum_sheet!W61*'Equivalence Factor'!$L61</f>
        <v>0</v>
      </c>
      <c r="Y51">
        <f>+sum_sheet!X61*'Equivalence Factor'!$L61</f>
        <v>0</v>
      </c>
      <c r="Z51">
        <f>+sum_sheet!Y61*'Equivalence Factor'!$L61</f>
        <v>0</v>
      </c>
      <c r="AA51">
        <f>+sum_sheet!Z61*'Equivalence Factor'!$L61</f>
        <v>0</v>
      </c>
      <c r="AB51">
        <f>+sum_sheet!AA61*'Equivalence Factor'!$L61</f>
        <v>0</v>
      </c>
      <c r="AC51">
        <f>+sum_sheet!AB61*'Equivalence Factor'!$L61</f>
        <v>0</v>
      </c>
      <c r="AD51">
        <f>+sum_sheet!AC61*'Equivalence Factor'!$L61</f>
        <v>0</v>
      </c>
      <c r="AE51">
        <f>+sum_sheet!AD61*'Equivalence Factor'!$L61</f>
        <v>0</v>
      </c>
      <c r="AF51">
        <f>+sum_sheet!AE61*'Equivalence Factor'!$L61</f>
        <v>0</v>
      </c>
      <c r="AG51">
        <f>+sum_sheet!AF61*'Equivalence Factor'!$L61</f>
        <v>0</v>
      </c>
      <c r="AH51">
        <f>+sum_sheet!AG61*'Equivalence Factor'!$L61</f>
        <v>0</v>
      </c>
      <c r="AI51">
        <f>+sum_sheet!AH61*'Equivalence Factor'!$L61</f>
        <v>0</v>
      </c>
      <c r="AJ51">
        <f>+sum_sheet!AI61*'Equivalence Factor'!$L61</f>
        <v>0</v>
      </c>
      <c r="AK51">
        <f>+sum_sheet!AJ61*'Equivalence Factor'!$L61</f>
        <v>0</v>
      </c>
      <c r="AL51">
        <f>+sum_sheet!AK61*'Equivalence Factor'!$L61</f>
        <v>0</v>
      </c>
      <c r="AM51">
        <f>+sum_sheet!AL61*'Equivalence Factor'!$L61</f>
        <v>0</v>
      </c>
      <c r="AN51">
        <f>+sum_sheet!AM61*'Equivalence Factor'!$L61</f>
        <v>0</v>
      </c>
      <c r="AO51">
        <f>+sum_sheet!AN61*'Equivalence Factor'!$L61</f>
        <v>0</v>
      </c>
      <c r="AP51">
        <f>+sum_sheet!AO61*'Equivalence Factor'!$L61</f>
        <v>0</v>
      </c>
      <c r="AQ51">
        <f>+sum_sheet!AP61*'Equivalence Factor'!$L61</f>
        <v>0</v>
      </c>
      <c r="AR51">
        <f>+sum_sheet!AQ61*'Equivalence Factor'!$L61</f>
        <v>0</v>
      </c>
      <c r="AS51">
        <f>+sum_sheet!AR61*'Equivalence Factor'!$L61</f>
        <v>0</v>
      </c>
      <c r="AT51">
        <f>+sum_sheet!AS61*'Equivalence Factor'!$L61</f>
        <v>0</v>
      </c>
    </row>
    <row r="52" spans="1:46" x14ac:dyDescent="0.2">
      <c r="A52" s="3" t="s">
        <v>135</v>
      </c>
      <c r="B52" t="s">
        <v>333</v>
      </c>
      <c r="C52" s="3" t="s">
        <v>9</v>
      </c>
      <c r="D52" s="3" t="s">
        <v>153</v>
      </c>
      <c r="E52" s="3" t="s">
        <v>137</v>
      </c>
      <c r="F52" s="3">
        <v>0</v>
      </c>
      <c r="G52" s="3" t="s">
        <v>0</v>
      </c>
      <c r="H52" s="3" t="s">
        <v>0</v>
      </c>
      <c r="I52" s="3" t="s">
        <v>0</v>
      </c>
      <c r="J52" s="3" t="s">
        <v>0</v>
      </c>
      <c r="K52" s="3" t="s">
        <v>0</v>
      </c>
      <c r="L52" s="3" t="s">
        <v>0</v>
      </c>
      <c r="M52" s="4">
        <v>-1</v>
      </c>
      <c r="O52">
        <f>+sum_sheet!N62*'Equivalence Factor'!$L62</f>
        <v>0</v>
      </c>
      <c r="P52">
        <f>+sum_sheet!O62*'Equivalence Factor'!$L62</f>
        <v>0</v>
      </c>
      <c r="Q52">
        <f>+sum_sheet!P62*'Equivalence Factor'!$L62</f>
        <v>0</v>
      </c>
      <c r="R52">
        <f>+sum_sheet!Q62*'Equivalence Factor'!$L62</f>
        <v>0</v>
      </c>
      <c r="S52">
        <f>+sum_sheet!R62*'Equivalence Factor'!$L62</f>
        <v>0</v>
      </c>
      <c r="T52">
        <f>+sum_sheet!S62*'Equivalence Factor'!$L62</f>
        <v>0</v>
      </c>
      <c r="U52">
        <f>+sum_sheet!T62*'Equivalence Factor'!$L62</f>
        <v>0</v>
      </c>
      <c r="V52">
        <f>+sum_sheet!U62*'Equivalence Factor'!$L62</f>
        <v>0</v>
      </c>
      <c r="W52">
        <f>+sum_sheet!V62*'Equivalence Factor'!$L62</f>
        <v>0</v>
      </c>
      <c r="X52">
        <f>+sum_sheet!W62*'Equivalence Factor'!$L62</f>
        <v>0</v>
      </c>
      <c r="Y52">
        <f>+sum_sheet!X62*'Equivalence Factor'!$L62</f>
        <v>0</v>
      </c>
      <c r="Z52">
        <f>+sum_sheet!Y62*'Equivalence Factor'!$L62</f>
        <v>0</v>
      </c>
      <c r="AA52">
        <f>+sum_sheet!Z62*'Equivalence Factor'!$L62</f>
        <v>0</v>
      </c>
      <c r="AB52">
        <f>+sum_sheet!AA62*'Equivalence Factor'!$L62</f>
        <v>0</v>
      </c>
      <c r="AC52">
        <f>+sum_sheet!AB62*'Equivalence Factor'!$L62</f>
        <v>0</v>
      </c>
      <c r="AD52">
        <f>+sum_sheet!AC62*'Equivalence Factor'!$L62</f>
        <v>0</v>
      </c>
      <c r="AE52">
        <f>+sum_sheet!AD62*'Equivalence Factor'!$L62</f>
        <v>0</v>
      </c>
      <c r="AF52">
        <f>+sum_sheet!AE62*'Equivalence Factor'!$L62</f>
        <v>0</v>
      </c>
      <c r="AG52">
        <f>+sum_sheet!AF62*'Equivalence Factor'!$L62</f>
        <v>0</v>
      </c>
      <c r="AH52">
        <f>+sum_sheet!AG62*'Equivalence Factor'!$L62</f>
        <v>0</v>
      </c>
      <c r="AI52">
        <f>+sum_sheet!AH62*'Equivalence Factor'!$L62</f>
        <v>0</v>
      </c>
      <c r="AJ52">
        <f>+sum_sheet!AI62*'Equivalence Factor'!$L62</f>
        <v>0</v>
      </c>
      <c r="AK52">
        <f>+sum_sheet!AJ62*'Equivalence Factor'!$L62</f>
        <v>0</v>
      </c>
      <c r="AL52">
        <f>+sum_sheet!AK62*'Equivalence Factor'!$L62</f>
        <v>0</v>
      </c>
      <c r="AM52">
        <f>+sum_sheet!AL62*'Equivalence Factor'!$L62</f>
        <v>0</v>
      </c>
      <c r="AN52">
        <f>+sum_sheet!AM62*'Equivalence Factor'!$L62</f>
        <v>0</v>
      </c>
      <c r="AO52">
        <f>+sum_sheet!AN62*'Equivalence Factor'!$L62</f>
        <v>0</v>
      </c>
      <c r="AP52">
        <f>+sum_sheet!AO62*'Equivalence Factor'!$L62</f>
        <v>0</v>
      </c>
      <c r="AQ52">
        <f>+sum_sheet!AP62*'Equivalence Factor'!$L62</f>
        <v>0</v>
      </c>
      <c r="AR52">
        <f>+sum_sheet!AQ62*'Equivalence Factor'!$L62</f>
        <v>0</v>
      </c>
      <c r="AS52">
        <f>+sum_sheet!AR62*'Equivalence Factor'!$L62</f>
        <v>0</v>
      </c>
      <c r="AT52">
        <f>+sum_sheet!AS62*'Equivalence Factor'!$L62</f>
        <v>0</v>
      </c>
    </row>
    <row r="53" spans="1:46" x14ac:dyDescent="0.2">
      <c r="A53" s="3" t="s">
        <v>135</v>
      </c>
      <c r="B53" t="s">
        <v>333</v>
      </c>
      <c r="C53" s="3" t="s">
        <v>9</v>
      </c>
      <c r="D53" s="3" t="s">
        <v>154</v>
      </c>
      <c r="E53" s="3" t="s">
        <v>137</v>
      </c>
      <c r="F53" s="3">
        <v>0</v>
      </c>
      <c r="G53" s="3" t="s">
        <v>0</v>
      </c>
      <c r="H53" s="3" t="s">
        <v>0</v>
      </c>
      <c r="I53" s="3" t="s">
        <v>0</v>
      </c>
      <c r="J53" s="3" t="s">
        <v>0</v>
      </c>
      <c r="K53" s="3" t="s">
        <v>0</v>
      </c>
      <c r="L53" s="3" t="s">
        <v>0</v>
      </c>
      <c r="M53" s="4">
        <v>-1</v>
      </c>
      <c r="O53">
        <f>+sum_sheet!N63*'Equivalence Factor'!$L63</f>
        <v>0</v>
      </c>
      <c r="P53">
        <f>+sum_sheet!O63*'Equivalence Factor'!$L63</f>
        <v>0</v>
      </c>
      <c r="Q53">
        <f>+sum_sheet!P63*'Equivalence Factor'!$L63</f>
        <v>0</v>
      </c>
      <c r="R53">
        <f>+sum_sheet!Q63*'Equivalence Factor'!$L63</f>
        <v>0</v>
      </c>
      <c r="S53">
        <f>+sum_sheet!R63*'Equivalence Factor'!$L63</f>
        <v>0</v>
      </c>
      <c r="T53">
        <f>+sum_sheet!S63*'Equivalence Factor'!$L63</f>
        <v>0</v>
      </c>
      <c r="U53">
        <f>+sum_sheet!T63*'Equivalence Factor'!$L63</f>
        <v>0</v>
      </c>
      <c r="V53">
        <f>+sum_sheet!U63*'Equivalence Factor'!$L63</f>
        <v>0</v>
      </c>
      <c r="W53">
        <f>+sum_sheet!V63*'Equivalence Factor'!$L63</f>
        <v>0</v>
      </c>
      <c r="X53">
        <f>+sum_sheet!W63*'Equivalence Factor'!$L63</f>
        <v>0</v>
      </c>
      <c r="Y53">
        <f>+sum_sheet!X63*'Equivalence Factor'!$L63</f>
        <v>0</v>
      </c>
      <c r="Z53">
        <f>+sum_sheet!Y63*'Equivalence Factor'!$L63</f>
        <v>0</v>
      </c>
      <c r="AA53">
        <f>+sum_sheet!Z63*'Equivalence Factor'!$L63</f>
        <v>0</v>
      </c>
      <c r="AB53">
        <f>+sum_sheet!AA63*'Equivalence Factor'!$L63</f>
        <v>0</v>
      </c>
      <c r="AC53">
        <f>+sum_sheet!AB63*'Equivalence Factor'!$L63</f>
        <v>0</v>
      </c>
      <c r="AD53">
        <f>+sum_sheet!AC63*'Equivalence Factor'!$L63</f>
        <v>0</v>
      </c>
      <c r="AE53">
        <f>+sum_sheet!AD63*'Equivalence Factor'!$L63</f>
        <v>0</v>
      </c>
      <c r="AF53">
        <f>+sum_sheet!AE63*'Equivalence Factor'!$L63</f>
        <v>0</v>
      </c>
      <c r="AG53">
        <f>+sum_sheet!AF63*'Equivalence Factor'!$L63</f>
        <v>0</v>
      </c>
      <c r="AH53">
        <f>+sum_sheet!AG63*'Equivalence Factor'!$L63</f>
        <v>0</v>
      </c>
      <c r="AI53">
        <f>+sum_sheet!AH63*'Equivalence Factor'!$L63</f>
        <v>0</v>
      </c>
      <c r="AJ53">
        <f>+sum_sheet!AI63*'Equivalence Factor'!$L63</f>
        <v>0</v>
      </c>
      <c r="AK53">
        <f>+sum_sheet!AJ63*'Equivalence Factor'!$L63</f>
        <v>0</v>
      </c>
      <c r="AL53">
        <f>+sum_sheet!AK63*'Equivalence Factor'!$L63</f>
        <v>0</v>
      </c>
      <c r="AM53">
        <f>+sum_sheet!AL63*'Equivalence Factor'!$L63</f>
        <v>0</v>
      </c>
      <c r="AN53">
        <f>+sum_sheet!AM63*'Equivalence Factor'!$L63</f>
        <v>0</v>
      </c>
      <c r="AO53">
        <f>+sum_sheet!AN63*'Equivalence Factor'!$L63</f>
        <v>0</v>
      </c>
      <c r="AP53">
        <f>+sum_sheet!AO63*'Equivalence Factor'!$L63</f>
        <v>0</v>
      </c>
      <c r="AQ53">
        <f>+sum_sheet!AP63*'Equivalence Factor'!$L63</f>
        <v>0</v>
      </c>
      <c r="AR53">
        <f>+sum_sheet!AQ63*'Equivalence Factor'!$L63</f>
        <v>0</v>
      </c>
      <c r="AS53">
        <f>+sum_sheet!AR63*'Equivalence Factor'!$L63</f>
        <v>0</v>
      </c>
      <c r="AT53">
        <f>+sum_sheet!AS63*'Equivalence Factor'!$L63</f>
        <v>0</v>
      </c>
    </row>
    <row r="54" spans="1:46" x14ac:dyDescent="0.2">
      <c r="A54" s="3" t="s">
        <v>135</v>
      </c>
      <c r="B54" t="s">
        <v>333</v>
      </c>
      <c r="C54" s="3" t="s">
        <v>9</v>
      </c>
      <c r="D54" s="3" t="s">
        <v>155</v>
      </c>
      <c r="E54" s="3" t="s">
        <v>137</v>
      </c>
      <c r="F54" s="3">
        <v>0</v>
      </c>
      <c r="G54" s="3" t="s">
        <v>0</v>
      </c>
      <c r="H54" s="3" t="s">
        <v>0</v>
      </c>
      <c r="I54" s="3" t="s">
        <v>0</v>
      </c>
      <c r="J54" s="3" t="s">
        <v>0</v>
      </c>
      <c r="K54" s="3" t="s">
        <v>0</v>
      </c>
      <c r="L54" s="3" t="s">
        <v>0</v>
      </c>
      <c r="M54" s="4">
        <v>-1</v>
      </c>
      <c r="O54">
        <f>+sum_sheet!N64*'Equivalence Factor'!$L64</f>
        <v>0</v>
      </c>
      <c r="P54">
        <f>+sum_sheet!O64*'Equivalence Factor'!$L64</f>
        <v>0</v>
      </c>
      <c r="Q54">
        <f>+sum_sheet!P64*'Equivalence Factor'!$L64</f>
        <v>0</v>
      </c>
      <c r="R54">
        <f>+sum_sheet!Q64*'Equivalence Factor'!$L64</f>
        <v>0</v>
      </c>
      <c r="S54">
        <f>+sum_sheet!R64*'Equivalence Factor'!$L64</f>
        <v>0</v>
      </c>
      <c r="T54">
        <f>+sum_sheet!S64*'Equivalence Factor'!$L64</f>
        <v>0</v>
      </c>
      <c r="U54">
        <f>+sum_sheet!T64*'Equivalence Factor'!$L64</f>
        <v>0</v>
      </c>
      <c r="V54">
        <f>+sum_sheet!U64*'Equivalence Factor'!$L64</f>
        <v>0</v>
      </c>
      <c r="W54">
        <f>+sum_sheet!V64*'Equivalence Factor'!$L64</f>
        <v>0</v>
      </c>
      <c r="X54">
        <f>+sum_sheet!W64*'Equivalence Factor'!$L64</f>
        <v>0</v>
      </c>
      <c r="Y54">
        <f>+sum_sheet!X64*'Equivalence Factor'!$L64</f>
        <v>0</v>
      </c>
      <c r="Z54">
        <f>+sum_sheet!Y64*'Equivalence Factor'!$L64</f>
        <v>0</v>
      </c>
      <c r="AA54">
        <f>+sum_sheet!Z64*'Equivalence Factor'!$L64</f>
        <v>0</v>
      </c>
      <c r="AB54">
        <f>+sum_sheet!AA64*'Equivalence Factor'!$L64</f>
        <v>0</v>
      </c>
      <c r="AC54">
        <f>+sum_sheet!AB64*'Equivalence Factor'!$L64</f>
        <v>0</v>
      </c>
      <c r="AD54">
        <f>+sum_sheet!AC64*'Equivalence Factor'!$L64</f>
        <v>0</v>
      </c>
      <c r="AE54">
        <f>+sum_sheet!AD64*'Equivalence Factor'!$L64</f>
        <v>0</v>
      </c>
      <c r="AF54">
        <f>+sum_sheet!AE64*'Equivalence Factor'!$L64</f>
        <v>0</v>
      </c>
      <c r="AG54">
        <f>+sum_sheet!AF64*'Equivalence Factor'!$L64</f>
        <v>0</v>
      </c>
      <c r="AH54">
        <f>+sum_sheet!AG64*'Equivalence Factor'!$L64</f>
        <v>0</v>
      </c>
      <c r="AI54">
        <f>+sum_sheet!AH64*'Equivalence Factor'!$L64</f>
        <v>0</v>
      </c>
      <c r="AJ54">
        <f>+sum_sheet!AI64*'Equivalence Factor'!$L64</f>
        <v>0</v>
      </c>
      <c r="AK54">
        <f>+sum_sheet!AJ64*'Equivalence Factor'!$L64</f>
        <v>0</v>
      </c>
      <c r="AL54">
        <f>+sum_sheet!AK64*'Equivalence Factor'!$L64</f>
        <v>0</v>
      </c>
      <c r="AM54">
        <f>+sum_sheet!AL64*'Equivalence Factor'!$L64</f>
        <v>0</v>
      </c>
      <c r="AN54">
        <f>+sum_sheet!AM64*'Equivalence Factor'!$L64</f>
        <v>0</v>
      </c>
      <c r="AO54">
        <f>+sum_sheet!AN64*'Equivalence Factor'!$L64</f>
        <v>0</v>
      </c>
      <c r="AP54">
        <f>+sum_sheet!AO64*'Equivalence Factor'!$L64</f>
        <v>0</v>
      </c>
      <c r="AQ54">
        <f>+sum_sheet!AP64*'Equivalence Factor'!$L64</f>
        <v>0</v>
      </c>
      <c r="AR54">
        <f>+sum_sheet!AQ64*'Equivalence Factor'!$L64</f>
        <v>0</v>
      </c>
      <c r="AS54">
        <f>+sum_sheet!AR64*'Equivalence Factor'!$L64</f>
        <v>0</v>
      </c>
      <c r="AT54">
        <f>+sum_sheet!AS64*'Equivalence Factor'!$L64</f>
        <v>0</v>
      </c>
    </row>
    <row r="55" spans="1:46" x14ac:dyDescent="0.2">
      <c r="A55" s="3" t="s">
        <v>135</v>
      </c>
      <c r="B55" t="s">
        <v>333</v>
      </c>
      <c r="C55" s="3" t="s">
        <v>9</v>
      </c>
      <c r="D55" s="3" t="s">
        <v>156</v>
      </c>
      <c r="E55" s="3" t="s">
        <v>137</v>
      </c>
      <c r="F55" s="3">
        <v>0</v>
      </c>
      <c r="G55" s="3" t="s">
        <v>0</v>
      </c>
      <c r="H55" s="3" t="s">
        <v>0</v>
      </c>
      <c r="I55" s="3" t="s">
        <v>0</v>
      </c>
      <c r="J55" s="3" t="s">
        <v>0</v>
      </c>
      <c r="K55" s="3" t="s">
        <v>0</v>
      </c>
      <c r="L55" s="3" t="s">
        <v>0</v>
      </c>
      <c r="M55" s="4">
        <v>-1</v>
      </c>
      <c r="O55">
        <f>+sum_sheet!N65*'Equivalence Factor'!$L65</f>
        <v>0</v>
      </c>
      <c r="P55">
        <f>+sum_sheet!O65*'Equivalence Factor'!$L65</f>
        <v>0</v>
      </c>
      <c r="Q55">
        <f>+sum_sheet!P65*'Equivalence Factor'!$L65</f>
        <v>0</v>
      </c>
      <c r="R55">
        <f>+sum_sheet!Q65*'Equivalence Factor'!$L65</f>
        <v>0</v>
      </c>
      <c r="S55">
        <f>+sum_sheet!R65*'Equivalence Factor'!$L65</f>
        <v>0</v>
      </c>
      <c r="T55">
        <f>+sum_sheet!S65*'Equivalence Factor'!$L65</f>
        <v>0</v>
      </c>
      <c r="U55">
        <f>+sum_sheet!T65*'Equivalence Factor'!$L65</f>
        <v>0</v>
      </c>
      <c r="V55">
        <f>+sum_sheet!U65*'Equivalence Factor'!$L65</f>
        <v>0</v>
      </c>
      <c r="W55">
        <f>+sum_sheet!V65*'Equivalence Factor'!$L65</f>
        <v>0</v>
      </c>
      <c r="X55">
        <f>+sum_sheet!W65*'Equivalence Factor'!$L65</f>
        <v>0</v>
      </c>
      <c r="Y55">
        <f>+sum_sheet!X65*'Equivalence Factor'!$L65</f>
        <v>0</v>
      </c>
      <c r="Z55">
        <f>+sum_sheet!Y65*'Equivalence Factor'!$L65</f>
        <v>0</v>
      </c>
      <c r="AA55">
        <f>+sum_sheet!Z65*'Equivalence Factor'!$L65</f>
        <v>0</v>
      </c>
      <c r="AB55">
        <f>+sum_sheet!AA65*'Equivalence Factor'!$L65</f>
        <v>0</v>
      </c>
      <c r="AC55">
        <f>+sum_sheet!AB65*'Equivalence Factor'!$L65</f>
        <v>0</v>
      </c>
      <c r="AD55">
        <f>+sum_sheet!AC65*'Equivalence Factor'!$L65</f>
        <v>0</v>
      </c>
      <c r="AE55">
        <f>+sum_sheet!AD65*'Equivalence Factor'!$L65</f>
        <v>0</v>
      </c>
      <c r="AF55">
        <f>+sum_sheet!AE65*'Equivalence Factor'!$L65</f>
        <v>0</v>
      </c>
      <c r="AG55">
        <f>+sum_sheet!AF65*'Equivalence Factor'!$L65</f>
        <v>0</v>
      </c>
      <c r="AH55">
        <f>+sum_sheet!AG65*'Equivalence Factor'!$L65</f>
        <v>0</v>
      </c>
      <c r="AI55">
        <f>+sum_sheet!AH65*'Equivalence Factor'!$L65</f>
        <v>0</v>
      </c>
      <c r="AJ55">
        <f>+sum_sheet!AI65*'Equivalence Factor'!$L65</f>
        <v>0</v>
      </c>
      <c r="AK55">
        <f>+sum_sheet!AJ65*'Equivalence Factor'!$L65</f>
        <v>0</v>
      </c>
      <c r="AL55">
        <f>+sum_sheet!AK65*'Equivalence Factor'!$L65</f>
        <v>0</v>
      </c>
      <c r="AM55">
        <f>+sum_sheet!AL65*'Equivalence Factor'!$L65</f>
        <v>0</v>
      </c>
      <c r="AN55">
        <f>+sum_sheet!AM65*'Equivalence Factor'!$L65</f>
        <v>0</v>
      </c>
      <c r="AO55">
        <f>+sum_sheet!AN65*'Equivalence Factor'!$L65</f>
        <v>0</v>
      </c>
      <c r="AP55">
        <f>+sum_sheet!AO65*'Equivalence Factor'!$L65</f>
        <v>0</v>
      </c>
      <c r="AQ55">
        <f>+sum_sheet!AP65*'Equivalence Factor'!$L65</f>
        <v>0</v>
      </c>
      <c r="AR55">
        <f>+sum_sheet!AQ65*'Equivalence Factor'!$L65</f>
        <v>0</v>
      </c>
      <c r="AS55">
        <f>+sum_sheet!AR65*'Equivalence Factor'!$L65</f>
        <v>0</v>
      </c>
      <c r="AT55">
        <f>+sum_sheet!AS65*'Equivalence Factor'!$L65</f>
        <v>0</v>
      </c>
    </row>
    <row r="56" spans="1:46" x14ac:dyDescent="0.2">
      <c r="A56" s="3" t="s">
        <v>135</v>
      </c>
      <c r="B56" t="s">
        <v>333</v>
      </c>
      <c r="C56" s="3" t="s">
        <v>9</v>
      </c>
      <c r="D56" s="3" t="s">
        <v>157</v>
      </c>
      <c r="E56" s="3" t="s">
        <v>137</v>
      </c>
      <c r="F56" s="3">
        <v>0</v>
      </c>
      <c r="G56" s="3" t="s">
        <v>0</v>
      </c>
      <c r="H56" s="3" t="s">
        <v>0</v>
      </c>
      <c r="I56" s="3" t="s">
        <v>0</v>
      </c>
      <c r="J56" s="3" t="s">
        <v>0</v>
      </c>
      <c r="K56" s="3" t="s">
        <v>0</v>
      </c>
      <c r="L56" s="3" t="s">
        <v>0</v>
      </c>
      <c r="M56" s="4">
        <v>-1</v>
      </c>
      <c r="O56">
        <f>+sum_sheet!N66*'Equivalence Factor'!$L66</f>
        <v>0</v>
      </c>
      <c r="P56">
        <f>+sum_sheet!O66*'Equivalence Factor'!$L66</f>
        <v>0</v>
      </c>
      <c r="Q56">
        <f>+sum_sheet!P66*'Equivalence Factor'!$L66</f>
        <v>0</v>
      </c>
      <c r="R56">
        <f>+sum_sheet!Q66*'Equivalence Factor'!$L66</f>
        <v>0</v>
      </c>
      <c r="S56">
        <f>+sum_sheet!R66*'Equivalence Factor'!$L66</f>
        <v>0</v>
      </c>
      <c r="T56">
        <f>+sum_sheet!S66*'Equivalence Factor'!$L66</f>
        <v>0</v>
      </c>
      <c r="U56">
        <f>+sum_sheet!T66*'Equivalence Factor'!$L66</f>
        <v>0</v>
      </c>
      <c r="V56">
        <f>+sum_sheet!U66*'Equivalence Factor'!$L66</f>
        <v>0</v>
      </c>
      <c r="W56">
        <f>+sum_sheet!V66*'Equivalence Factor'!$L66</f>
        <v>0</v>
      </c>
      <c r="X56">
        <f>+sum_sheet!W66*'Equivalence Factor'!$L66</f>
        <v>0</v>
      </c>
      <c r="Y56">
        <f>+sum_sheet!X66*'Equivalence Factor'!$L66</f>
        <v>0</v>
      </c>
      <c r="Z56">
        <f>+sum_sheet!Y66*'Equivalence Factor'!$L66</f>
        <v>0</v>
      </c>
      <c r="AA56">
        <f>+sum_sheet!Z66*'Equivalence Factor'!$L66</f>
        <v>0</v>
      </c>
      <c r="AB56">
        <f>+sum_sheet!AA66*'Equivalence Factor'!$L66</f>
        <v>0</v>
      </c>
      <c r="AC56">
        <f>+sum_sheet!AB66*'Equivalence Factor'!$L66</f>
        <v>0</v>
      </c>
      <c r="AD56">
        <f>+sum_sheet!AC66*'Equivalence Factor'!$L66</f>
        <v>0</v>
      </c>
      <c r="AE56">
        <f>+sum_sheet!AD66*'Equivalence Factor'!$L66</f>
        <v>0</v>
      </c>
      <c r="AF56">
        <f>+sum_sheet!AE66*'Equivalence Factor'!$L66</f>
        <v>0</v>
      </c>
      <c r="AG56">
        <f>+sum_sheet!AF66*'Equivalence Factor'!$L66</f>
        <v>0</v>
      </c>
      <c r="AH56">
        <f>+sum_sheet!AG66*'Equivalence Factor'!$L66</f>
        <v>0</v>
      </c>
      <c r="AI56">
        <f>+sum_sheet!AH66*'Equivalence Factor'!$L66</f>
        <v>0</v>
      </c>
      <c r="AJ56">
        <f>+sum_sheet!AI66*'Equivalence Factor'!$L66</f>
        <v>0</v>
      </c>
      <c r="AK56">
        <f>+sum_sheet!AJ66*'Equivalence Factor'!$L66</f>
        <v>0</v>
      </c>
      <c r="AL56">
        <f>+sum_sheet!AK66*'Equivalence Factor'!$L66</f>
        <v>0</v>
      </c>
      <c r="AM56">
        <f>+sum_sheet!AL66*'Equivalence Factor'!$L66</f>
        <v>0</v>
      </c>
      <c r="AN56">
        <f>+sum_sheet!AM66*'Equivalence Factor'!$L66</f>
        <v>0</v>
      </c>
      <c r="AO56">
        <f>+sum_sheet!AN66*'Equivalence Factor'!$L66</f>
        <v>0</v>
      </c>
      <c r="AP56">
        <f>+sum_sheet!AO66*'Equivalence Factor'!$L66</f>
        <v>0</v>
      </c>
      <c r="AQ56">
        <f>+sum_sheet!AP66*'Equivalence Factor'!$L66</f>
        <v>0</v>
      </c>
      <c r="AR56">
        <f>+sum_sheet!AQ66*'Equivalence Factor'!$L66</f>
        <v>0</v>
      </c>
      <c r="AS56">
        <f>+sum_sheet!AR66*'Equivalence Factor'!$L66</f>
        <v>0</v>
      </c>
      <c r="AT56">
        <f>+sum_sheet!AS66*'Equivalence Factor'!$L66</f>
        <v>0</v>
      </c>
    </row>
    <row r="57" spans="1:46" x14ac:dyDescent="0.2">
      <c r="A57" s="3" t="s">
        <v>135</v>
      </c>
      <c r="B57" t="s">
        <v>333</v>
      </c>
      <c r="C57" s="3" t="s">
        <v>3</v>
      </c>
      <c r="D57" s="3" t="s">
        <v>158</v>
      </c>
      <c r="E57" s="3" t="s">
        <v>146</v>
      </c>
      <c r="F57" s="3">
        <v>0</v>
      </c>
      <c r="G57" s="3" t="s">
        <v>0</v>
      </c>
      <c r="H57" s="3" t="s">
        <v>0</v>
      </c>
      <c r="I57" s="3" t="s">
        <v>0</v>
      </c>
      <c r="J57" s="3" t="s">
        <v>0</v>
      </c>
      <c r="K57" s="3" t="s">
        <v>0</v>
      </c>
      <c r="L57" s="3" t="s">
        <v>0</v>
      </c>
      <c r="M57" s="4">
        <v>-1</v>
      </c>
      <c r="O57">
        <f>+sum_sheet!N67*'Equivalence Factor'!$L67</f>
        <v>0</v>
      </c>
      <c r="P57">
        <f>+sum_sheet!O67*'Equivalence Factor'!$L67</f>
        <v>0</v>
      </c>
      <c r="Q57">
        <f>+sum_sheet!P67*'Equivalence Factor'!$L67</f>
        <v>0</v>
      </c>
      <c r="R57">
        <f>+sum_sheet!Q67*'Equivalence Factor'!$L67</f>
        <v>0</v>
      </c>
      <c r="S57">
        <f>+sum_sheet!R67*'Equivalence Factor'!$L67</f>
        <v>0</v>
      </c>
      <c r="T57">
        <f>+sum_sheet!S67*'Equivalence Factor'!$L67</f>
        <v>0</v>
      </c>
      <c r="U57">
        <f>+sum_sheet!T67*'Equivalence Factor'!$L67</f>
        <v>0</v>
      </c>
      <c r="V57">
        <f>+sum_sheet!U67*'Equivalence Factor'!$L67</f>
        <v>0</v>
      </c>
      <c r="W57">
        <f>+sum_sheet!V67*'Equivalence Factor'!$L67</f>
        <v>0</v>
      </c>
      <c r="X57">
        <f>+sum_sheet!W67*'Equivalence Factor'!$L67</f>
        <v>0</v>
      </c>
      <c r="Y57">
        <f>+sum_sheet!X67*'Equivalence Factor'!$L67</f>
        <v>0</v>
      </c>
      <c r="Z57">
        <f>+sum_sheet!Y67*'Equivalence Factor'!$L67</f>
        <v>0</v>
      </c>
      <c r="AA57">
        <f>+sum_sheet!Z67*'Equivalence Factor'!$L67</f>
        <v>0</v>
      </c>
      <c r="AB57">
        <f>+sum_sheet!AA67*'Equivalence Factor'!$L67</f>
        <v>0</v>
      </c>
      <c r="AC57">
        <f>+sum_sheet!AB67*'Equivalence Factor'!$L67</f>
        <v>0</v>
      </c>
      <c r="AD57">
        <f>+sum_sheet!AC67*'Equivalence Factor'!$L67</f>
        <v>0</v>
      </c>
      <c r="AE57">
        <f>+sum_sheet!AD67*'Equivalence Factor'!$L67</f>
        <v>0</v>
      </c>
      <c r="AF57">
        <f>+sum_sheet!AE67*'Equivalence Factor'!$L67</f>
        <v>0</v>
      </c>
      <c r="AG57">
        <f>+sum_sheet!AF67*'Equivalence Factor'!$L67</f>
        <v>0</v>
      </c>
      <c r="AH57">
        <f>+sum_sheet!AG67*'Equivalence Factor'!$L67</f>
        <v>0</v>
      </c>
      <c r="AI57">
        <f>+sum_sheet!AH67*'Equivalence Factor'!$L67</f>
        <v>0</v>
      </c>
      <c r="AJ57">
        <f>+sum_sheet!AI67*'Equivalence Factor'!$L67</f>
        <v>0</v>
      </c>
      <c r="AK57">
        <f>+sum_sheet!AJ67*'Equivalence Factor'!$L67</f>
        <v>0</v>
      </c>
      <c r="AL57">
        <f>+sum_sheet!AK67*'Equivalence Factor'!$L67</f>
        <v>0</v>
      </c>
      <c r="AM57">
        <f>+sum_sheet!AL67*'Equivalence Factor'!$L67</f>
        <v>0</v>
      </c>
      <c r="AN57">
        <f>+sum_sheet!AM67*'Equivalence Factor'!$L67</f>
        <v>0</v>
      </c>
      <c r="AO57">
        <f>+sum_sheet!AN67*'Equivalence Factor'!$L67</f>
        <v>0</v>
      </c>
      <c r="AP57">
        <f>+sum_sheet!AO67*'Equivalence Factor'!$L67</f>
        <v>0</v>
      </c>
      <c r="AQ57">
        <f>+sum_sheet!AP67*'Equivalence Factor'!$L67</f>
        <v>0</v>
      </c>
      <c r="AR57">
        <f>+sum_sheet!AQ67*'Equivalence Factor'!$L67</f>
        <v>0</v>
      </c>
      <c r="AS57">
        <f>+sum_sheet!AR67*'Equivalence Factor'!$L67</f>
        <v>0</v>
      </c>
      <c r="AT57">
        <f>+sum_sheet!AS67*'Equivalence Factor'!$L67</f>
        <v>0</v>
      </c>
    </row>
    <row r="58" spans="1:46" x14ac:dyDescent="0.2">
      <c r="A58" s="3" t="s">
        <v>135</v>
      </c>
      <c r="B58" t="s">
        <v>333</v>
      </c>
      <c r="C58" s="3" t="s">
        <v>3</v>
      </c>
      <c r="D58" s="3" t="s">
        <v>159</v>
      </c>
      <c r="E58" s="3" t="s">
        <v>146</v>
      </c>
      <c r="F58" s="3">
        <v>0</v>
      </c>
      <c r="G58" s="3" t="s">
        <v>0</v>
      </c>
      <c r="H58" s="3" t="s">
        <v>0</v>
      </c>
      <c r="I58" s="3" t="s">
        <v>0</v>
      </c>
      <c r="J58" s="3" t="s">
        <v>0</v>
      </c>
      <c r="K58" s="3" t="s">
        <v>0</v>
      </c>
      <c r="L58" s="3" t="s">
        <v>0</v>
      </c>
      <c r="M58" s="4">
        <v>-1</v>
      </c>
      <c r="O58">
        <f>+sum_sheet!N68*'Equivalence Factor'!$L68</f>
        <v>0</v>
      </c>
      <c r="P58">
        <f>+sum_sheet!O68*'Equivalence Factor'!$L68</f>
        <v>0</v>
      </c>
      <c r="Q58">
        <f>+sum_sheet!P68*'Equivalence Factor'!$L68</f>
        <v>0</v>
      </c>
      <c r="R58">
        <f>+sum_sheet!Q68*'Equivalence Factor'!$L68</f>
        <v>0</v>
      </c>
      <c r="S58">
        <f>+sum_sheet!R68*'Equivalence Factor'!$L68</f>
        <v>0</v>
      </c>
      <c r="T58">
        <f>+sum_sheet!S68*'Equivalence Factor'!$L68</f>
        <v>0</v>
      </c>
      <c r="U58">
        <f>+sum_sheet!T68*'Equivalence Factor'!$L68</f>
        <v>0</v>
      </c>
      <c r="V58">
        <f>+sum_sheet!U68*'Equivalence Factor'!$L68</f>
        <v>0</v>
      </c>
      <c r="W58">
        <f>+sum_sheet!V68*'Equivalence Factor'!$L68</f>
        <v>0</v>
      </c>
      <c r="X58">
        <f>+sum_sheet!W68*'Equivalence Factor'!$L68</f>
        <v>0</v>
      </c>
      <c r="Y58">
        <f>+sum_sheet!X68*'Equivalence Factor'!$L68</f>
        <v>0</v>
      </c>
      <c r="Z58">
        <f>+sum_sheet!Y68*'Equivalence Factor'!$L68</f>
        <v>0</v>
      </c>
      <c r="AA58">
        <f>+sum_sheet!Z68*'Equivalence Factor'!$L68</f>
        <v>0</v>
      </c>
      <c r="AB58">
        <f>+sum_sheet!AA68*'Equivalence Factor'!$L68</f>
        <v>0</v>
      </c>
      <c r="AC58">
        <f>+sum_sheet!AB68*'Equivalence Factor'!$L68</f>
        <v>0</v>
      </c>
      <c r="AD58">
        <f>+sum_sheet!AC68*'Equivalence Factor'!$L68</f>
        <v>0</v>
      </c>
      <c r="AE58">
        <f>+sum_sheet!AD68*'Equivalence Factor'!$L68</f>
        <v>0</v>
      </c>
      <c r="AF58">
        <f>+sum_sheet!AE68*'Equivalence Factor'!$L68</f>
        <v>0</v>
      </c>
      <c r="AG58">
        <f>+sum_sheet!AF68*'Equivalence Factor'!$L68</f>
        <v>0</v>
      </c>
      <c r="AH58">
        <f>+sum_sheet!AG68*'Equivalence Factor'!$L68</f>
        <v>0</v>
      </c>
      <c r="AI58">
        <f>+sum_sheet!AH68*'Equivalence Factor'!$L68</f>
        <v>0</v>
      </c>
      <c r="AJ58">
        <f>+sum_sheet!AI68*'Equivalence Factor'!$L68</f>
        <v>0</v>
      </c>
      <c r="AK58">
        <f>+sum_sheet!AJ68*'Equivalence Factor'!$L68</f>
        <v>0</v>
      </c>
      <c r="AL58">
        <f>+sum_sheet!AK68*'Equivalence Factor'!$L68</f>
        <v>0</v>
      </c>
      <c r="AM58">
        <f>+sum_sheet!AL68*'Equivalence Factor'!$L68</f>
        <v>0</v>
      </c>
      <c r="AN58">
        <f>+sum_sheet!AM68*'Equivalence Factor'!$L68</f>
        <v>0</v>
      </c>
      <c r="AO58">
        <f>+sum_sheet!AN68*'Equivalence Factor'!$L68</f>
        <v>0</v>
      </c>
      <c r="AP58">
        <f>+sum_sheet!AO68*'Equivalence Factor'!$L68</f>
        <v>0</v>
      </c>
      <c r="AQ58">
        <f>+sum_sheet!AP68*'Equivalence Factor'!$L68</f>
        <v>0</v>
      </c>
      <c r="AR58">
        <f>+sum_sheet!AQ68*'Equivalence Factor'!$L68</f>
        <v>0</v>
      </c>
      <c r="AS58">
        <f>+sum_sheet!AR68*'Equivalence Factor'!$L68</f>
        <v>0</v>
      </c>
      <c r="AT58">
        <f>+sum_sheet!AS68*'Equivalence Factor'!$L68</f>
        <v>0</v>
      </c>
    </row>
    <row r="59" spans="1:46" x14ac:dyDescent="0.2">
      <c r="A59" s="3" t="s">
        <v>135</v>
      </c>
      <c r="B59" t="s">
        <v>333</v>
      </c>
      <c r="C59" s="3" t="s">
        <v>3</v>
      </c>
      <c r="D59" s="3" t="s">
        <v>160</v>
      </c>
      <c r="E59" s="3" t="s">
        <v>146</v>
      </c>
      <c r="F59" s="3">
        <v>0</v>
      </c>
      <c r="G59" s="3" t="s">
        <v>0</v>
      </c>
      <c r="H59" s="3" t="s">
        <v>0</v>
      </c>
      <c r="I59" s="3" t="s">
        <v>0</v>
      </c>
      <c r="J59" s="3" t="s">
        <v>0</v>
      </c>
      <c r="K59" s="3" t="s">
        <v>0</v>
      </c>
      <c r="L59" s="3" t="s">
        <v>0</v>
      </c>
      <c r="M59" s="4">
        <v>-1</v>
      </c>
      <c r="O59">
        <f>+sum_sheet!N69*'Equivalence Factor'!$L69</f>
        <v>0</v>
      </c>
      <c r="P59">
        <f>+sum_sheet!O69*'Equivalence Factor'!$L69</f>
        <v>0</v>
      </c>
      <c r="Q59">
        <f>+sum_sheet!P69*'Equivalence Factor'!$L69</f>
        <v>0</v>
      </c>
      <c r="R59">
        <f>+sum_sheet!Q69*'Equivalence Factor'!$L69</f>
        <v>0</v>
      </c>
      <c r="S59">
        <f>+sum_sheet!R69*'Equivalence Factor'!$L69</f>
        <v>0</v>
      </c>
      <c r="T59">
        <f>+sum_sheet!S69*'Equivalence Factor'!$L69</f>
        <v>0</v>
      </c>
      <c r="U59">
        <f>+sum_sheet!T69*'Equivalence Factor'!$L69</f>
        <v>0</v>
      </c>
      <c r="V59">
        <f>+sum_sheet!U69*'Equivalence Factor'!$L69</f>
        <v>0</v>
      </c>
      <c r="W59">
        <f>+sum_sheet!V69*'Equivalence Factor'!$L69</f>
        <v>0</v>
      </c>
      <c r="X59">
        <f>+sum_sheet!W69*'Equivalence Factor'!$L69</f>
        <v>0</v>
      </c>
      <c r="Y59">
        <f>+sum_sheet!X69*'Equivalence Factor'!$L69</f>
        <v>0</v>
      </c>
      <c r="Z59">
        <f>+sum_sheet!Y69*'Equivalence Factor'!$L69</f>
        <v>0</v>
      </c>
      <c r="AA59">
        <f>+sum_sheet!Z69*'Equivalence Factor'!$L69</f>
        <v>0</v>
      </c>
      <c r="AB59">
        <f>+sum_sheet!AA69*'Equivalence Factor'!$L69</f>
        <v>0</v>
      </c>
      <c r="AC59">
        <f>+sum_sheet!AB69*'Equivalence Factor'!$L69</f>
        <v>0</v>
      </c>
      <c r="AD59">
        <f>+sum_sheet!AC69*'Equivalence Factor'!$L69</f>
        <v>0</v>
      </c>
      <c r="AE59">
        <f>+sum_sheet!AD69*'Equivalence Factor'!$L69</f>
        <v>0</v>
      </c>
      <c r="AF59">
        <f>+sum_sheet!AE69*'Equivalence Factor'!$L69</f>
        <v>0</v>
      </c>
      <c r="AG59">
        <f>+sum_sheet!AF69*'Equivalence Factor'!$L69</f>
        <v>0</v>
      </c>
      <c r="AH59">
        <f>+sum_sheet!AG69*'Equivalence Factor'!$L69</f>
        <v>0</v>
      </c>
      <c r="AI59">
        <f>+sum_sheet!AH69*'Equivalence Factor'!$L69</f>
        <v>0</v>
      </c>
      <c r="AJ59">
        <f>+sum_sheet!AI69*'Equivalence Factor'!$L69</f>
        <v>0</v>
      </c>
      <c r="AK59">
        <f>+sum_sheet!AJ69*'Equivalence Factor'!$L69</f>
        <v>0</v>
      </c>
      <c r="AL59">
        <f>+sum_sheet!AK69*'Equivalence Factor'!$L69</f>
        <v>0</v>
      </c>
      <c r="AM59">
        <f>+sum_sheet!AL69*'Equivalence Factor'!$L69</f>
        <v>0</v>
      </c>
      <c r="AN59">
        <f>+sum_sheet!AM69*'Equivalence Factor'!$L69</f>
        <v>0</v>
      </c>
      <c r="AO59">
        <f>+sum_sheet!AN69*'Equivalence Factor'!$L69</f>
        <v>0</v>
      </c>
      <c r="AP59">
        <f>+sum_sheet!AO69*'Equivalence Factor'!$L69</f>
        <v>0</v>
      </c>
      <c r="AQ59">
        <f>+sum_sheet!AP69*'Equivalence Factor'!$L69</f>
        <v>0</v>
      </c>
      <c r="AR59">
        <f>+sum_sheet!AQ69*'Equivalence Factor'!$L69</f>
        <v>0</v>
      </c>
      <c r="AS59">
        <f>+sum_sheet!AR69*'Equivalence Factor'!$L69</f>
        <v>0</v>
      </c>
      <c r="AT59">
        <f>+sum_sheet!AS69*'Equivalence Factor'!$L69</f>
        <v>0</v>
      </c>
    </row>
    <row r="60" spans="1:46" x14ac:dyDescent="0.2">
      <c r="A60" s="3" t="s">
        <v>249</v>
      </c>
      <c r="B60" t="s">
        <v>334</v>
      </c>
      <c r="C60" s="3" t="s">
        <v>9</v>
      </c>
      <c r="D60" s="3" t="s">
        <v>248</v>
      </c>
      <c r="E60" s="3" t="s">
        <v>250</v>
      </c>
      <c r="F60" s="3">
        <v>1</v>
      </c>
      <c r="G60" s="3" t="s">
        <v>15</v>
      </c>
      <c r="H60" s="3" t="s">
        <v>14</v>
      </c>
      <c r="I60" s="3" t="s">
        <v>237</v>
      </c>
      <c r="J60" s="3" t="s">
        <v>298</v>
      </c>
      <c r="K60" s="3" t="s">
        <v>251</v>
      </c>
      <c r="L60" s="9"/>
      <c r="M60" s="4">
        <v>40</v>
      </c>
      <c r="N60" s="3"/>
      <c r="O60">
        <f>+sum_sheet!N70*'Equivalence Factor'!$L70</f>
        <v>-1.3721827276666663</v>
      </c>
      <c r="P60">
        <f>+sum_sheet!O70*'Equivalence Factor'!$L70</f>
        <v>-1.3971827691433332</v>
      </c>
      <c r="Q60">
        <f>+sum_sheet!P70*'Equivalence Factor'!$L70</f>
        <v>-1.4221828106199996</v>
      </c>
      <c r="R60">
        <f>+sum_sheet!Q70*'Equivalence Factor'!$L70</f>
        <v>-1.4471828520966663</v>
      </c>
      <c r="S60">
        <f>+sum_sheet!R70*'Equivalence Factor'!$L70</f>
        <v>-1.472182893573333</v>
      </c>
      <c r="T60">
        <f>+sum_sheet!S70*'Equivalence Factor'!$L70</f>
        <v>-1.4971829350499997</v>
      </c>
      <c r="U60">
        <f>+sum_sheet!T70*'Equivalence Factor'!$L70</f>
        <v>-1.5221829765266661</v>
      </c>
      <c r="V60">
        <f>+sum_sheet!U70*'Equivalence Factor'!$L70</f>
        <v>-1.5471830180033328</v>
      </c>
      <c r="W60">
        <f>+sum_sheet!V70*'Equivalence Factor'!$L70</f>
        <v>-1.5721830594799995</v>
      </c>
      <c r="X60">
        <f>+sum_sheet!W70*'Equivalence Factor'!$L70</f>
        <v>-1.5971831009566664</v>
      </c>
      <c r="Y60">
        <f>+sum_sheet!X70*'Equivalence Factor'!$L70</f>
        <v>-1.6221831424333331</v>
      </c>
      <c r="Z60">
        <f>+sum_sheet!Y70*'Equivalence Factor'!$L70</f>
        <v>-1.6515986664235371</v>
      </c>
      <c r="AA60">
        <f>+sum_sheet!Z70*'Equivalence Factor'!$L70</f>
        <v>-1.6810141904137414</v>
      </c>
      <c r="AB60">
        <f>+sum_sheet!AA70*'Equivalence Factor'!$L70</f>
        <v>-1.710429714403946</v>
      </c>
      <c r="AC60">
        <f>+sum_sheet!AB70*'Equivalence Factor'!$L70</f>
        <v>-1.7398452383941501</v>
      </c>
      <c r="AD60">
        <f>+sum_sheet!AC70*'Equivalence Factor'!$L70</f>
        <v>-1.7692607623843544</v>
      </c>
      <c r="AE60">
        <f>+sum_sheet!AD70*'Equivalence Factor'!$L70</f>
        <v>-1.7986762863745585</v>
      </c>
      <c r="AF60">
        <f>+sum_sheet!AE70*'Equivalence Factor'!$L70</f>
        <v>-1.8280918103647628</v>
      </c>
      <c r="AG60">
        <f>+sum_sheet!AF70*'Equivalence Factor'!$L70</f>
        <v>-1.8575073343549673</v>
      </c>
      <c r="AH60">
        <f>+sum_sheet!AG70*'Equivalence Factor'!$L70</f>
        <v>-1.8869228583451712</v>
      </c>
      <c r="AI60">
        <f>+sum_sheet!AH70*'Equivalence Factor'!$L70</f>
        <v>-1.9163383823353759</v>
      </c>
      <c r="AJ60">
        <f>+sum_sheet!AI70*'Equivalence Factor'!$L70</f>
        <v>-1.9457539063255824</v>
      </c>
      <c r="AK60">
        <f>+sum_sheet!AJ70*'Equivalence Factor'!$L70</f>
        <v>-1.9751694303157841</v>
      </c>
      <c r="AL60">
        <f>+sum_sheet!AK70*'Equivalence Factor'!$L70</f>
        <v>-2.0045849543059857</v>
      </c>
      <c r="AM60">
        <f>+sum_sheet!AL70*'Equivalence Factor'!$L70</f>
        <v>-2.0340004782961874</v>
      </c>
      <c r="AN60">
        <f>+sum_sheet!AM70*'Equivalence Factor'!$L70</f>
        <v>-2.0634160022863992</v>
      </c>
      <c r="AO60">
        <f>+sum_sheet!AN70*'Equivalence Factor'!$L70</f>
        <v>-2.0928315262766009</v>
      </c>
      <c r="AP60">
        <f>+sum_sheet!AO70*'Equivalence Factor'!$L70</f>
        <v>-2.1222470502668025</v>
      </c>
      <c r="AQ60">
        <f>+sum_sheet!AP70*'Equivalence Factor'!$L70</f>
        <v>-2.1516625742570041</v>
      </c>
      <c r="AR60">
        <f>+sum_sheet!AQ70*'Equivalence Factor'!$L70</f>
        <v>-2.1810780982472164</v>
      </c>
      <c r="AS60">
        <f>+sum_sheet!AR70*'Equivalence Factor'!$L70</f>
        <v>-1.8999959548942418</v>
      </c>
      <c r="AT60">
        <f>+sum_sheet!AS70*'Equivalence Factor'!$L70</f>
        <v>-2.1270009035573754</v>
      </c>
    </row>
    <row r="61" spans="1:46" x14ac:dyDescent="0.2">
      <c r="A61" s="3" t="s">
        <v>249</v>
      </c>
      <c r="B61" t="s">
        <v>334</v>
      </c>
      <c r="C61" s="3" t="s">
        <v>342</v>
      </c>
      <c r="D61" s="3" t="s">
        <v>260</v>
      </c>
      <c r="E61" s="3" t="s">
        <v>257</v>
      </c>
      <c r="F61" s="3">
        <v>1</v>
      </c>
      <c r="G61" s="3" t="s">
        <v>15</v>
      </c>
      <c r="H61" s="3" t="s">
        <v>14</v>
      </c>
      <c r="I61" s="3" t="s">
        <v>237</v>
      </c>
      <c r="J61" s="3" t="s">
        <v>298</v>
      </c>
      <c r="K61" s="7" t="s">
        <v>261</v>
      </c>
      <c r="L61" s="9" t="s">
        <v>239</v>
      </c>
      <c r="M61" s="4" t="s">
        <v>262</v>
      </c>
      <c r="N61" s="3"/>
      <c r="O61">
        <f>+sum_sheet!N71*'Equivalence Factor'!$L71</f>
        <v>1.75</v>
      </c>
      <c r="P61">
        <f>+sum_sheet!O71*'Equivalence Factor'!$L71</f>
        <v>1.76</v>
      </c>
      <c r="Q61">
        <f>+sum_sheet!P71*'Equivalence Factor'!$L71</f>
        <v>1.76</v>
      </c>
      <c r="R61">
        <f>+sum_sheet!Q71*'Equivalence Factor'!$L71</f>
        <v>1.77</v>
      </c>
      <c r="S61">
        <f>+sum_sheet!R71*'Equivalence Factor'!$L71</f>
        <v>1.78</v>
      </c>
      <c r="T61">
        <f>+sum_sheet!S71*'Equivalence Factor'!$L71</f>
        <v>1.79</v>
      </c>
      <c r="U61">
        <f>+sum_sheet!T71*'Equivalence Factor'!$L71</f>
        <v>1.8</v>
      </c>
      <c r="V61">
        <f>+sum_sheet!U71*'Equivalence Factor'!$L71</f>
        <v>1.82</v>
      </c>
      <c r="W61">
        <f>+sum_sheet!V71*'Equivalence Factor'!$L71</f>
        <v>1.82</v>
      </c>
      <c r="X61">
        <f>+sum_sheet!W71*'Equivalence Factor'!$L71</f>
        <v>1.83</v>
      </c>
      <c r="Y61">
        <f>+sum_sheet!X71*'Equivalence Factor'!$L71</f>
        <v>1.84</v>
      </c>
      <c r="Z61">
        <f>+sum_sheet!Y71*'Equivalence Factor'!$L71</f>
        <v>1.8800000000000001</v>
      </c>
      <c r="AA61">
        <f>+sum_sheet!Z71*'Equivalence Factor'!$L71</f>
        <v>1.8800000000000001</v>
      </c>
      <c r="AB61">
        <f>+sum_sheet!AA71*'Equivalence Factor'!$L71</f>
        <v>1.8900000000000001</v>
      </c>
      <c r="AC61">
        <f>+sum_sheet!AB71*'Equivalence Factor'!$L71</f>
        <v>1.9000000000000001</v>
      </c>
      <c r="AD61">
        <f>+sum_sheet!AC71*'Equivalence Factor'!$L71</f>
        <v>1.9300000000000002</v>
      </c>
      <c r="AE61">
        <f>+sum_sheet!AD71*'Equivalence Factor'!$L71</f>
        <v>1.9400000000000002</v>
      </c>
      <c r="AF61">
        <f>+sum_sheet!AE71*'Equivalence Factor'!$L71</f>
        <v>1.9600000000000002</v>
      </c>
      <c r="AG61">
        <f>+sum_sheet!AF71*'Equivalence Factor'!$L71</f>
        <v>1.9700000000000002</v>
      </c>
      <c r="AH61">
        <f>+sum_sheet!AG71*'Equivalence Factor'!$L71</f>
        <v>1.9700000000000002</v>
      </c>
      <c r="AI61">
        <f>+sum_sheet!AH71*'Equivalence Factor'!$L71</f>
        <v>1.9800000000000002</v>
      </c>
      <c r="AJ61">
        <f>+sum_sheet!AI71*'Equivalence Factor'!$L71</f>
        <v>2</v>
      </c>
      <c r="AK61">
        <f>+sum_sheet!AJ71*'Equivalence Factor'!$L71</f>
        <v>2.0100000000000002</v>
      </c>
      <c r="AL61">
        <f>+sum_sheet!AK71*'Equivalence Factor'!$L71</f>
        <v>2.0300000000000002</v>
      </c>
      <c r="AM61">
        <f>+sum_sheet!AL71*'Equivalence Factor'!$L71</f>
        <v>2.04</v>
      </c>
      <c r="AN61">
        <f>+sum_sheet!AM71*'Equivalence Factor'!$L71</f>
        <v>2.0499999999999998</v>
      </c>
      <c r="AO61">
        <f>+sum_sheet!AN71*'Equivalence Factor'!$L71</f>
        <v>2.0499999999999998</v>
      </c>
      <c r="AP61">
        <f>+sum_sheet!AO71*'Equivalence Factor'!$L71</f>
        <v>2.0499999999999998</v>
      </c>
      <c r="AQ61">
        <f>+sum_sheet!AP71*'Equivalence Factor'!$L71</f>
        <v>2.0499999999999998</v>
      </c>
      <c r="AR61">
        <f>+sum_sheet!AQ71*'Equivalence Factor'!$L71</f>
        <v>2.0499999999999998</v>
      </c>
      <c r="AS61">
        <f>+sum_sheet!AR71*'Equivalence Factor'!$L71</f>
        <v>2.0499999999999998</v>
      </c>
      <c r="AT61">
        <f>+sum_sheet!AS71*'Equivalence Factor'!$L71</f>
        <v>2.0499999999999998</v>
      </c>
    </row>
    <row r="62" spans="1:46" x14ac:dyDescent="0.2">
      <c r="A62" s="3" t="s">
        <v>249</v>
      </c>
      <c r="B62" t="s">
        <v>334</v>
      </c>
      <c r="C62" s="3" t="s">
        <v>17</v>
      </c>
      <c r="D62" s="3" t="s">
        <v>254</v>
      </c>
      <c r="E62" s="3" t="s">
        <v>255</v>
      </c>
      <c r="F62" s="3">
        <v>0</v>
      </c>
      <c r="G62" s="3" t="s">
        <v>0</v>
      </c>
      <c r="H62" s="3" t="s">
        <v>0</v>
      </c>
      <c r="I62" s="3" t="s">
        <v>0</v>
      </c>
      <c r="J62" s="3" t="s">
        <v>0</v>
      </c>
      <c r="K62" s="3" t="s">
        <v>0</v>
      </c>
      <c r="L62" s="3" t="s">
        <v>0</v>
      </c>
      <c r="M62" s="4">
        <v>-1</v>
      </c>
      <c r="N62" s="3"/>
      <c r="O62">
        <f>+sum_sheet!N72*'Equivalence Factor'!$L72</f>
        <v>0</v>
      </c>
      <c r="P62">
        <f>+sum_sheet!O72*'Equivalence Factor'!$L72</f>
        <v>0</v>
      </c>
      <c r="Q62">
        <f>+sum_sheet!P72*'Equivalence Factor'!$L72</f>
        <v>0</v>
      </c>
      <c r="R62">
        <f>+sum_sheet!Q72*'Equivalence Factor'!$L72</f>
        <v>0</v>
      </c>
      <c r="S62">
        <f>+sum_sheet!R72*'Equivalence Factor'!$L72</f>
        <v>0</v>
      </c>
      <c r="T62">
        <f>+sum_sheet!S72*'Equivalence Factor'!$L72</f>
        <v>0</v>
      </c>
      <c r="U62">
        <f>+sum_sheet!T72*'Equivalence Factor'!$L72</f>
        <v>0</v>
      </c>
      <c r="V62">
        <f>+sum_sheet!U72*'Equivalence Factor'!$L72</f>
        <v>0</v>
      </c>
      <c r="W62">
        <f>+sum_sheet!V72*'Equivalence Factor'!$L72</f>
        <v>0</v>
      </c>
      <c r="X62">
        <f>+sum_sheet!W72*'Equivalence Factor'!$L72</f>
        <v>0</v>
      </c>
      <c r="Y62">
        <f>+sum_sheet!X72*'Equivalence Factor'!$L72</f>
        <v>0</v>
      </c>
      <c r="Z62">
        <f>+sum_sheet!Y72*'Equivalence Factor'!$L72</f>
        <v>0</v>
      </c>
      <c r="AA62">
        <f>+sum_sheet!Z72*'Equivalence Factor'!$L72</f>
        <v>0</v>
      </c>
      <c r="AB62">
        <f>+sum_sheet!AA72*'Equivalence Factor'!$L72</f>
        <v>0</v>
      </c>
      <c r="AC62">
        <f>+sum_sheet!AB72*'Equivalence Factor'!$L72</f>
        <v>0</v>
      </c>
      <c r="AD62">
        <f>+sum_sheet!AC72*'Equivalence Factor'!$L72</f>
        <v>0</v>
      </c>
      <c r="AE62">
        <f>+sum_sheet!AD72*'Equivalence Factor'!$L72</f>
        <v>0</v>
      </c>
      <c r="AF62">
        <f>+sum_sheet!AE72*'Equivalence Factor'!$L72</f>
        <v>0</v>
      </c>
      <c r="AG62">
        <f>+sum_sheet!AF72*'Equivalence Factor'!$L72</f>
        <v>0</v>
      </c>
      <c r="AH62">
        <f>+sum_sheet!AG72*'Equivalence Factor'!$L72</f>
        <v>0</v>
      </c>
      <c r="AI62">
        <f>+sum_sheet!AH72*'Equivalence Factor'!$L72</f>
        <v>0</v>
      </c>
      <c r="AJ62">
        <f>+sum_sheet!AI72*'Equivalence Factor'!$L72</f>
        <v>0</v>
      </c>
      <c r="AK62">
        <f>+sum_sheet!AJ72*'Equivalence Factor'!$L72</f>
        <v>0</v>
      </c>
      <c r="AL62">
        <f>+sum_sheet!AK72*'Equivalence Factor'!$L72</f>
        <v>0</v>
      </c>
      <c r="AM62">
        <f>+sum_sheet!AL72*'Equivalence Factor'!$L72</f>
        <v>0</v>
      </c>
      <c r="AN62">
        <f>+sum_sheet!AM72*'Equivalence Factor'!$L72</f>
        <v>0</v>
      </c>
      <c r="AO62">
        <f>+sum_sheet!AN72*'Equivalence Factor'!$L72</f>
        <v>0</v>
      </c>
      <c r="AP62">
        <f>+sum_sheet!AO72*'Equivalence Factor'!$L72</f>
        <v>0</v>
      </c>
      <c r="AQ62">
        <f>+sum_sheet!AP72*'Equivalence Factor'!$L72</f>
        <v>0</v>
      </c>
      <c r="AR62">
        <f>+sum_sheet!AQ72*'Equivalence Factor'!$L72</f>
        <v>0</v>
      </c>
      <c r="AS62">
        <f>+sum_sheet!AR72*'Equivalence Factor'!$L72</f>
        <v>0</v>
      </c>
      <c r="AT62">
        <f>+sum_sheet!AS72*'Equivalence Factor'!$L72</f>
        <v>0</v>
      </c>
    </row>
    <row r="63" spans="1:46" x14ac:dyDescent="0.2">
      <c r="A63" s="3" t="s">
        <v>249</v>
      </c>
      <c r="B63" t="s">
        <v>334</v>
      </c>
      <c r="C63" s="3" t="s">
        <v>9</v>
      </c>
      <c r="D63" s="3" t="s">
        <v>265</v>
      </c>
      <c r="E63" s="3" t="s">
        <v>250</v>
      </c>
      <c r="F63" s="3">
        <v>0</v>
      </c>
      <c r="G63" s="3" t="s">
        <v>0</v>
      </c>
      <c r="H63" s="3" t="s">
        <v>0</v>
      </c>
      <c r="I63" s="3" t="s">
        <v>0</v>
      </c>
      <c r="J63" s="3" t="s">
        <v>0</v>
      </c>
      <c r="K63" s="3" t="s">
        <v>0</v>
      </c>
      <c r="L63" s="3" t="s">
        <v>0</v>
      </c>
      <c r="M63" s="4">
        <v>-1</v>
      </c>
      <c r="N63" s="3"/>
      <c r="O63">
        <f>+sum_sheet!N73*'Equivalence Factor'!$L73</f>
        <v>0</v>
      </c>
      <c r="P63">
        <f>+sum_sheet!O73*'Equivalence Factor'!$L73</f>
        <v>0</v>
      </c>
      <c r="Q63">
        <f>+sum_sheet!P73*'Equivalence Factor'!$L73</f>
        <v>0</v>
      </c>
      <c r="R63">
        <f>+sum_sheet!Q73*'Equivalence Factor'!$L73</f>
        <v>0</v>
      </c>
      <c r="S63">
        <f>+sum_sheet!R73*'Equivalence Factor'!$L73</f>
        <v>0</v>
      </c>
      <c r="T63">
        <f>+sum_sheet!S73*'Equivalence Factor'!$L73</f>
        <v>0</v>
      </c>
      <c r="U63">
        <f>+sum_sheet!T73*'Equivalence Factor'!$L73</f>
        <v>0</v>
      </c>
      <c r="V63">
        <f>+sum_sheet!U73*'Equivalence Factor'!$L73</f>
        <v>0</v>
      </c>
      <c r="W63">
        <f>+sum_sheet!V73*'Equivalence Factor'!$L73</f>
        <v>0</v>
      </c>
      <c r="X63">
        <f>+sum_sheet!W73*'Equivalence Factor'!$L73</f>
        <v>0</v>
      </c>
      <c r="Y63">
        <f>+sum_sheet!X73*'Equivalence Factor'!$L73</f>
        <v>0</v>
      </c>
      <c r="Z63">
        <f>+sum_sheet!Y73*'Equivalence Factor'!$L73</f>
        <v>0</v>
      </c>
      <c r="AA63">
        <f>+sum_sheet!Z73*'Equivalence Factor'!$L73</f>
        <v>0</v>
      </c>
      <c r="AB63">
        <f>+sum_sheet!AA73*'Equivalence Factor'!$L73</f>
        <v>0</v>
      </c>
      <c r="AC63">
        <f>+sum_sheet!AB73*'Equivalence Factor'!$L73</f>
        <v>0</v>
      </c>
      <c r="AD63">
        <f>+sum_sheet!AC73*'Equivalence Factor'!$L73</f>
        <v>0</v>
      </c>
      <c r="AE63">
        <f>+sum_sheet!AD73*'Equivalence Factor'!$L73</f>
        <v>0</v>
      </c>
      <c r="AF63">
        <f>+sum_sheet!AE73*'Equivalence Factor'!$L73</f>
        <v>0</v>
      </c>
      <c r="AG63">
        <f>+sum_sheet!AF73*'Equivalence Factor'!$L73</f>
        <v>0</v>
      </c>
      <c r="AH63">
        <f>+sum_sheet!AG73*'Equivalence Factor'!$L73</f>
        <v>0</v>
      </c>
      <c r="AI63">
        <f>+sum_sheet!AH73*'Equivalence Factor'!$L73</f>
        <v>0</v>
      </c>
      <c r="AJ63">
        <f>+sum_sheet!AI73*'Equivalence Factor'!$L73</f>
        <v>0</v>
      </c>
      <c r="AK63">
        <f>+sum_sheet!AJ73*'Equivalence Factor'!$L73</f>
        <v>0</v>
      </c>
      <c r="AL63">
        <f>+sum_sheet!AK73*'Equivalence Factor'!$L73</f>
        <v>0</v>
      </c>
      <c r="AM63">
        <f>+sum_sheet!AL73*'Equivalence Factor'!$L73</f>
        <v>0</v>
      </c>
      <c r="AN63">
        <f>+sum_sheet!AM73*'Equivalence Factor'!$L73</f>
        <v>0</v>
      </c>
      <c r="AO63">
        <f>+sum_sheet!AN73*'Equivalence Factor'!$L73</f>
        <v>0</v>
      </c>
      <c r="AP63">
        <f>+sum_sheet!AO73*'Equivalence Factor'!$L73</f>
        <v>0</v>
      </c>
      <c r="AQ63">
        <f>+sum_sheet!AP73*'Equivalence Factor'!$L73</f>
        <v>0</v>
      </c>
      <c r="AR63">
        <f>+sum_sheet!AQ73*'Equivalence Factor'!$L73</f>
        <v>0</v>
      </c>
      <c r="AS63">
        <f>+sum_sheet!AR73*'Equivalence Factor'!$L73</f>
        <v>0</v>
      </c>
      <c r="AT63">
        <f>+sum_sheet!AS73*'Equivalence Factor'!$L73</f>
        <v>0</v>
      </c>
    </row>
    <row r="64" spans="1:46" x14ac:dyDescent="0.2">
      <c r="A64" s="3" t="s">
        <v>249</v>
      </c>
      <c r="B64" t="s">
        <v>334</v>
      </c>
      <c r="C64" s="3" t="s">
        <v>9</v>
      </c>
      <c r="D64" s="3" t="s">
        <v>263</v>
      </c>
      <c r="E64" s="3" t="s">
        <v>257</v>
      </c>
      <c r="F64" s="3">
        <v>0</v>
      </c>
      <c r="G64" s="3" t="s">
        <v>0</v>
      </c>
      <c r="H64" s="3" t="s">
        <v>0</v>
      </c>
      <c r="I64" s="3" t="s">
        <v>0</v>
      </c>
      <c r="J64" s="3" t="s">
        <v>0</v>
      </c>
      <c r="K64" s="3" t="s">
        <v>0</v>
      </c>
      <c r="L64" s="3" t="s">
        <v>0</v>
      </c>
      <c r="M64" s="4">
        <v>-1</v>
      </c>
      <c r="N64" s="3" t="s">
        <v>264</v>
      </c>
      <c r="O64">
        <f>+sum_sheet!N74*'Equivalence Factor'!$L74</f>
        <v>0</v>
      </c>
      <c r="P64">
        <f>+sum_sheet!O74*'Equivalence Factor'!$L74</f>
        <v>0</v>
      </c>
      <c r="Q64">
        <f>+sum_sheet!P74*'Equivalence Factor'!$L74</f>
        <v>0</v>
      </c>
      <c r="R64">
        <f>+sum_sheet!Q74*'Equivalence Factor'!$L74</f>
        <v>0</v>
      </c>
      <c r="S64">
        <f>+sum_sheet!R74*'Equivalence Factor'!$L74</f>
        <v>0</v>
      </c>
      <c r="T64">
        <f>+sum_sheet!S74*'Equivalence Factor'!$L74</f>
        <v>0</v>
      </c>
      <c r="U64">
        <f>+sum_sheet!T74*'Equivalence Factor'!$L74</f>
        <v>0</v>
      </c>
      <c r="V64">
        <f>+sum_sheet!U74*'Equivalence Factor'!$L74</f>
        <v>0</v>
      </c>
      <c r="W64">
        <f>+sum_sheet!V74*'Equivalence Factor'!$L74</f>
        <v>0</v>
      </c>
      <c r="X64">
        <f>+sum_sheet!W74*'Equivalence Factor'!$L74</f>
        <v>0</v>
      </c>
      <c r="Y64">
        <f>+sum_sheet!X74*'Equivalence Factor'!$L74</f>
        <v>0</v>
      </c>
      <c r="Z64">
        <f>+sum_sheet!Y74*'Equivalence Factor'!$L74</f>
        <v>0</v>
      </c>
      <c r="AA64">
        <f>+sum_sheet!Z74*'Equivalence Factor'!$L74</f>
        <v>0</v>
      </c>
      <c r="AB64">
        <f>+sum_sheet!AA74*'Equivalence Factor'!$L74</f>
        <v>0</v>
      </c>
      <c r="AC64">
        <f>+sum_sheet!AB74*'Equivalence Factor'!$L74</f>
        <v>0</v>
      </c>
      <c r="AD64">
        <f>+sum_sheet!AC74*'Equivalence Factor'!$L74</f>
        <v>0</v>
      </c>
      <c r="AE64">
        <f>+sum_sheet!AD74*'Equivalence Factor'!$L74</f>
        <v>0</v>
      </c>
      <c r="AF64">
        <f>+sum_sheet!AE74*'Equivalence Factor'!$L74</f>
        <v>0</v>
      </c>
      <c r="AG64">
        <f>+sum_sheet!AF74*'Equivalence Factor'!$L74</f>
        <v>0</v>
      </c>
      <c r="AH64">
        <f>+sum_sheet!AG74*'Equivalence Factor'!$L74</f>
        <v>0</v>
      </c>
      <c r="AI64">
        <f>+sum_sheet!AH74*'Equivalence Factor'!$L74</f>
        <v>0</v>
      </c>
      <c r="AJ64">
        <f>+sum_sheet!AI74*'Equivalence Factor'!$L74</f>
        <v>0</v>
      </c>
      <c r="AK64">
        <f>+sum_sheet!AJ74*'Equivalence Factor'!$L74</f>
        <v>0</v>
      </c>
      <c r="AL64">
        <f>+sum_sheet!AK74*'Equivalence Factor'!$L74</f>
        <v>0</v>
      </c>
      <c r="AM64">
        <f>+sum_sheet!AL74*'Equivalence Factor'!$L74</f>
        <v>0</v>
      </c>
      <c r="AN64">
        <f>+sum_sheet!AM74*'Equivalence Factor'!$L74</f>
        <v>0</v>
      </c>
      <c r="AO64">
        <f>+sum_sheet!AN74*'Equivalence Factor'!$L74</f>
        <v>0</v>
      </c>
      <c r="AP64">
        <f>+sum_sheet!AO74*'Equivalence Factor'!$L74</f>
        <v>0</v>
      </c>
      <c r="AQ64">
        <f>+sum_sheet!AP74*'Equivalence Factor'!$L74</f>
        <v>0</v>
      </c>
      <c r="AR64">
        <f>+sum_sheet!AQ74*'Equivalence Factor'!$L74</f>
        <v>0</v>
      </c>
      <c r="AS64">
        <f>+sum_sheet!AR74*'Equivalence Factor'!$L74</f>
        <v>0</v>
      </c>
      <c r="AT64">
        <f>+sum_sheet!AS74*'Equivalence Factor'!$L74</f>
        <v>0</v>
      </c>
    </row>
    <row r="65" spans="1:46" x14ac:dyDescent="0.2">
      <c r="A65" s="3" t="s">
        <v>249</v>
      </c>
      <c r="B65" t="s">
        <v>334</v>
      </c>
      <c r="C65" s="3" t="s">
        <v>9</v>
      </c>
      <c r="D65" s="3" t="s">
        <v>256</v>
      </c>
      <c r="E65" s="3" t="s">
        <v>257</v>
      </c>
      <c r="F65" s="3">
        <v>0</v>
      </c>
      <c r="G65" s="3" t="s">
        <v>0</v>
      </c>
      <c r="H65" s="3" t="s">
        <v>0</v>
      </c>
      <c r="I65" s="3" t="s">
        <v>0</v>
      </c>
      <c r="J65" s="3" t="s">
        <v>0</v>
      </c>
      <c r="K65" s="3" t="s">
        <v>0</v>
      </c>
      <c r="L65" s="3" t="s">
        <v>0</v>
      </c>
      <c r="M65" s="4">
        <v>-1</v>
      </c>
      <c r="N65" s="3" t="s">
        <v>259</v>
      </c>
      <c r="O65">
        <f>+sum_sheet!N75*'Equivalence Factor'!$L75</f>
        <v>0</v>
      </c>
      <c r="P65">
        <f>+sum_sheet!O75*'Equivalence Factor'!$L75</f>
        <v>0</v>
      </c>
      <c r="Q65">
        <f>+sum_sheet!P75*'Equivalence Factor'!$L75</f>
        <v>0</v>
      </c>
      <c r="R65">
        <f>+sum_sheet!Q75*'Equivalence Factor'!$L75</f>
        <v>0</v>
      </c>
      <c r="S65">
        <f>+sum_sheet!R75*'Equivalence Factor'!$L75</f>
        <v>0</v>
      </c>
      <c r="T65">
        <f>+sum_sheet!S75*'Equivalence Factor'!$L75</f>
        <v>0</v>
      </c>
      <c r="U65">
        <f>+sum_sheet!T75*'Equivalence Factor'!$L75</f>
        <v>0</v>
      </c>
      <c r="V65">
        <f>+sum_sheet!U75*'Equivalence Factor'!$L75</f>
        <v>0</v>
      </c>
      <c r="W65">
        <f>+sum_sheet!V75*'Equivalence Factor'!$L75</f>
        <v>0</v>
      </c>
      <c r="X65">
        <f>+sum_sheet!W75*'Equivalence Factor'!$L75</f>
        <v>0</v>
      </c>
      <c r="Y65">
        <f>+sum_sheet!X75*'Equivalence Factor'!$L75</f>
        <v>0</v>
      </c>
      <c r="Z65">
        <f>+sum_sheet!Y75*'Equivalence Factor'!$L75</f>
        <v>0</v>
      </c>
      <c r="AA65">
        <f>+sum_sheet!Z75*'Equivalence Factor'!$L75</f>
        <v>0</v>
      </c>
      <c r="AB65">
        <f>+sum_sheet!AA75*'Equivalence Factor'!$L75</f>
        <v>0</v>
      </c>
      <c r="AC65">
        <f>+sum_sheet!AB75*'Equivalence Factor'!$L75</f>
        <v>0</v>
      </c>
      <c r="AD65">
        <f>+sum_sheet!AC75*'Equivalence Factor'!$L75</f>
        <v>0</v>
      </c>
      <c r="AE65">
        <f>+sum_sheet!AD75*'Equivalence Factor'!$L75</f>
        <v>0</v>
      </c>
      <c r="AF65">
        <f>+sum_sheet!AE75*'Equivalence Factor'!$L75</f>
        <v>0</v>
      </c>
      <c r="AG65">
        <f>+sum_sheet!AF75*'Equivalence Factor'!$L75</f>
        <v>0</v>
      </c>
      <c r="AH65">
        <f>+sum_sheet!AG75*'Equivalence Factor'!$L75</f>
        <v>0</v>
      </c>
      <c r="AI65">
        <f>+sum_sheet!AH75*'Equivalence Factor'!$L75</f>
        <v>0</v>
      </c>
      <c r="AJ65">
        <f>+sum_sheet!AI75*'Equivalence Factor'!$L75</f>
        <v>0</v>
      </c>
      <c r="AK65">
        <f>+sum_sheet!AJ75*'Equivalence Factor'!$L75</f>
        <v>0</v>
      </c>
      <c r="AL65">
        <f>+sum_sheet!AK75*'Equivalence Factor'!$L75</f>
        <v>0</v>
      </c>
      <c r="AM65">
        <f>+sum_sheet!AL75*'Equivalence Factor'!$L75</f>
        <v>0</v>
      </c>
      <c r="AN65">
        <f>+sum_sheet!AM75*'Equivalence Factor'!$L75</f>
        <v>0</v>
      </c>
      <c r="AO65">
        <f>+sum_sheet!AN75*'Equivalence Factor'!$L75</f>
        <v>0</v>
      </c>
      <c r="AP65">
        <f>+sum_sheet!AO75*'Equivalence Factor'!$L75</f>
        <v>0</v>
      </c>
      <c r="AQ65">
        <f>+sum_sheet!AP75*'Equivalence Factor'!$L75</f>
        <v>0</v>
      </c>
      <c r="AR65">
        <f>+sum_sheet!AQ75*'Equivalence Factor'!$L75</f>
        <v>0</v>
      </c>
      <c r="AS65">
        <f>+sum_sheet!AR75*'Equivalence Factor'!$L75</f>
        <v>0</v>
      </c>
      <c r="AT65">
        <f>+sum_sheet!AS75*'Equivalence Factor'!$L75</f>
        <v>0</v>
      </c>
    </row>
    <row r="66" spans="1:46" x14ac:dyDescent="0.2">
      <c r="A66" s="3" t="s">
        <v>185</v>
      </c>
      <c r="B66" t="s">
        <v>335</v>
      </c>
      <c r="C66" s="3" t="s">
        <v>17</v>
      </c>
      <c r="D66" s="3" t="s">
        <v>183</v>
      </c>
      <c r="E66" s="3" t="s">
        <v>184</v>
      </c>
      <c r="F66" s="3">
        <v>1</v>
      </c>
      <c r="G66" s="3" t="s">
        <v>15</v>
      </c>
      <c r="H66" s="3" t="s">
        <v>17</v>
      </c>
      <c r="I66" s="3" t="s">
        <v>171</v>
      </c>
      <c r="J66" s="5" t="s">
        <v>291</v>
      </c>
      <c r="K66" s="5" t="s">
        <v>179</v>
      </c>
      <c r="L66" s="5" t="s">
        <v>175</v>
      </c>
      <c r="M66" s="4">
        <v>33</v>
      </c>
      <c r="O66">
        <f>+sum_sheet!N76*'Equivalence Factor'!$L76</f>
        <v>2.0097236093144581</v>
      </c>
      <c r="P66">
        <f>+sum_sheet!O76*'Equivalence Factor'!$L76</f>
        <v>1.9278984629717972</v>
      </c>
      <c r="Q66">
        <f>+sum_sheet!P76*'Equivalence Factor'!$L76</f>
        <v>1.8371498912992983</v>
      </c>
      <c r="R66">
        <f>+sum_sheet!Q76*'Equivalence Factor'!$L76</f>
        <v>1.9176748773030767</v>
      </c>
      <c r="S66">
        <f>+sum_sheet!R76*'Equivalence Factor'!$L76</f>
        <v>1.8547119746437388</v>
      </c>
      <c r="T66">
        <f>+sum_sheet!S76*'Equivalence Factor'!$L76</f>
        <v>1.9004567537353492</v>
      </c>
      <c r="U66">
        <f>+sum_sheet!T76*'Equivalence Factor'!$L76</f>
        <v>1.904495354600352</v>
      </c>
      <c r="V66">
        <f>+sum_sheet!U76*'Equivalence Factor'!$L76</f>
        <v>1.8871495806048988</v>
      </c>
      <c r="W66">
        <f>+sum_sheet!V76*'Equivalence Factor'!$L76</f>
        <v>1.8566279928082634</v>
      </c>
      <c r="X66">
        <f>+sum_sheet!W76*'Equivalence Factor'!$L76</f>
        <v>1.8163780412346755</v>
      </c>
      <c r="Y66">
        <f>+sum_sheet!X76*'Equivalence Factor'!$L76</f>
        <v>1.7995001031123274</v>
      </c>
      <c r="Z66">
        <f>+sum_sheet!Y76*'Equivalence Factor'!$L76</f>
        <v>1.7210183221283424</v>
      </c>
      <c r="AA66">
        <f>+sum_sheet!Z76*'Equivalence Factor'!$L76</f>
        <v>1.7078840284378896</v>
      </c>
      <c r="AB66">
        <f>+sum_sheet!AA76*'Equivalence Factor'!$L76</f>
        <v>1.7367454620717404</v>
      </c>
      <c r="AC66">
        <f>+sum_sheet!AB76*'Equivalence Factor'!$L76</f>
        <v>1.7597750736064663</v>
      </c>
      <c r="AD66">
        <f>+sum_sheet!AC76*'Equivalence Factor'!$L76</f>
        <v>1.7581009537978609</v>
      </c>
      <c r="AE66">
        <f>+sum_sheet!AD76*'Equivalence Factor'!$L76</f>
        <v>1.6906652750696349</v>
      </c>
      <c r="AF66">
        <f>+sum_sheet!AE76*'Equivalence Factor'!$L76</f>
        <v>1.7407300121099851</v>
      </c>
      <c r="AG66">
        <f>+sum_sheet!AF76*'Equivalence Factor'!$L76</f>
        <v>1.806172560860519</v>
      </c>
      <c r="AH66">
        <f>+sum_sheet!AG76*'Equivalence Factor'!$L76</f>
        <v>1.7920158418232617</v>
      </c>
      <c r="AI66">
        <f>+sum_sheet!AH76*'Equivalence Factor'!$L76</f>
        <v>1.716357621886496</v>
      </c>
      <c r="AJ66">
        <f>+sum_sheet!AI76*'Equivalence Factor'!$L76</f>
        <v>1.6133896450188216</v>
      </c>
      <c r="AK66">
        <f>+sum_sheet!AJ76*'Equivalence Factor'!$L76</f>
        <v>1.5898241005488449</v>
      </c>
      <c r="AL66">
        <f>+sum_sheet!AK76*'Equivalence Factor'!$L76</f>
        <v>1.5761355248161188</v>
      </c>
      <c r="AM66">
        <f>+sum_sheet!AL76*'Equivalence Factor'!$L76</f>
        <v>1.5788857546502668</v>
      </c>
      <c r="AN66">
        <f>+sum_sheet!AM76*'Equivalence Factor'!$L76</f>
        <v>1.6014581978113682</v>
      </c>
      <c r="AO66">
        <f>+sum_sheet!AN76*'Equivalence Factor'!$L76</f>
        <v>1.5475813291401197</v>
      </c>
      <c r="AP66">
        <f>+sum_sheet!AO76*'Equivalence Factor'!$L76</f>
        <v>1.5647922900637858</v>
      </c>
      <c r="AQ66">
        <f>+sum_sheet!AP76*'Equivalence Factor'!$L76</f>
        <v>1.6364021370537634</v>
      </c>
      <c r="AR66">
        <f>+sum_sheet!AQ76*'Equivalence Factor'!$L76</f>
        <v>1.4980915959989753</v>
      </c>
      <c r="AS66">
        <f>+sum_sheet!AR76*'Equivalence Factor'!$L76</f>
        <v>1.4959806026206994</v>
      </c>
      <c r="AT66">
        <f>+sum_sheet!AS76*'Equivalence Factor'!$L76</f>
        <v>1.5398112513750486</v>
      </c>
    </row>
    <row r="67" spans="1:46" x14ac:dyDescent="0.2">
      <c r="A67" s="3" t="s">
        <v>188</v>
      </c>
      <c r="B67" t="s">
        <v>343</v>
      </c>
      <c r="C67" s="3" t="s">
        <v>17</v>
      </c>
      <c r="D67" s="3" t="s">
        <v>186</v>
      </c>
      <c r="E67" s="3"/>
      <c r="F67" s="3">
        <v>1</v>
      </c>
      <c r="G67" s="3" t="s">
        <v>15</v>
      </c>
      <c r="H67" s="3" t="s">
        <v>17</v>
      </c>
      <c r="I67" s="3" t="s">
        <v>171</v>
      </c>
      <c r="J67" s="5" t="s">
        <v>291</v>
      </c>
      <c r="K67" s="5" t="s">
        <v>179</v>
      </c>
      <c r="L67" s="5" t="s">
        <v>176</v>
      </c>
      <c r="M67" s="4">
        <v>34</v>
      </c>
      <c r="O67">
        <f>+sum_sheet!N77*'Equivalence Factor'!$L77</f>
        <v>0.22659420053124313</v>
      </c>
      <c r="P67">
        <f>+sum_sheet!O77*'Equivalence Factor'!$L77</f>
        <v>0.20948584750530153</v>
      </c>
      <c r="Q67">
        <f>+sum_sheet!P77*'Equivalence Factor'!$L77</f>
        <v>0.21014247029212166</v>
      </c>
      <c r="R67">
        <f>+sum_sheet!Q77*'Equivalence Factor'!$L77</f>
        <v>0.2214568629349821</v>
      </c>
      <c r="S67">
        <f>+sum_sheet!R77*'Equivalence Factor'!$L77</f>
        <v>0.21287598776137928</v>
      </c>
      <c r="T67">
        <f>+sum_sheet!S77*'Equivalence Factor'!$L77</f>
        <v>0.21878315117966984</v>
      </c>
      <c r="U67">
        <f>+sum_sheet!T77*'Equivalence Factor'!$L77</f>
        <v>0.20877924192249533</v>
      </c>
      <c r="V67">
        <f>+sum_sheet!U77*'Equivalence Factor'!$L77</f>
        <v>0.1967930477124343</v>
      </c>
      <c r="W67">
        <f>+sum_sheet!V77*'Equivalence Factor'!$L77</f>
        <v>0.20831890582118243</v>
      </c>
      <c r="X67">
        <f>+sum_sheet!W77*'Equivalence Factor'!$L77</f>
        <v>0.20174990154302486</v>
      </c>
      <c r="Y67">
        <f>+sum_sheet!X77*'Equivalence Factor'!$L77</f>
        <v>0.20517106371594038</v>
      </c>
      <c r="Z67">
        <f>+sum_sheet!Y77*'Equivalence Factor'!$L77</f>
        <v>0.20572791496745771</v>
      </c>
      <c r="AA67">
        <f>+sum_sheet!Z77*'Equivalence Factor'!$L77</f>
        <v>0.19029875523121265</v>
      </c>
      <c r="AB67">
        <f>+sum_sheet!AA77*'Equivalence Factor'!$L77</f>
        <v>0.18365095564669484</v>
      </c>
      <c r="AC67">
        <f>+sum_sheet!AB77*'Equivalence Factor'!$L77</f>
        <v>0.18889219855677875</v>
      </c>
      <c r="AD67">
        <f>+sum_sheet!AC77*'Equivalence Factor'!$L77</f>
        <v>0.18251421718831998</v>
      </c>
      <c r="AE67">
        <f>+sum_sheet!AD77*'Equivalence Factor'!$L77</f>
        <v>0.17749321201638354</v>
      </c>
      <c r="AF67">
        <f>+sum_sheet!AE77*'Equivalence Factor'!$L77</f>
        <v>0.18302610971714792</v>
      </c>
      <c r="AG67">
        <f>+sum_sheet!AF77*'Equivalence Factor'!$L77</f>
        <v>0.17045589567473299</v>
      </c>
      <c r="AH67">
        <f>+sum_sheet!AG77*'Equivalence Factor'!$L77</f>
        <v>0.17551182877242455</v>
      </c>
      <c r="AI67">
        <f>+sum_sheet!AH77*'Equivalence Factor'!$L77</f>
        <v>0.17071465088857027</v>
      </c>
      <c r="AJ67">
        <f>+sum_sheet!AI77*'Equivalence Factor'!$L77</f>
        <v>0.16396177717156524</v>
      </c>
      <c r="AK67">
        <f>+sum_sheet!AJ77*'Equivalence Factor'!$L77</f>
        <v>0.16160313102408241</v>
      </c>
      <c r="AL67">
        <f>+sum_sheet!AK77*'Equivalence Factor'!$L77</f>
        <v>0.15899789385957375</v>
      </c>
      <c r="AM67">
        <f>+sum_sheet!AL77*'Equivalence Factor'!$L77</f>
        <v>0.15971405137263683</v>
      </c>
      <c r="AN67">
        <f>+sum_sheet!AM77*'Equivalence Factor'!$L77</f>
        <v>0.16395662595128005</v>
      </c>
      <c r="AO67">
        <f>+sum_sheet!AN77*'Equivalence Factor'!$L77</f>
        <v>0.15621570861900339</v>
      </c>
      <c r="AP67">
        <f>+sum_sheet!AO77*'Equivalence Factor'!$L77</f>
        <v>0.15094415541579892</v>
      </c>
      <c r="AQ67">
        <f>+sum_sheet!AP77*'Equivalence Factor'!$L77</f>
        <v>0.15607256524355823</v>
      </c>
      <c r="AR67">
        <f>+sum_sheet!AQ77*'Equivalence Factor'!$L77</f>
        <v>0.16594985915510579</v>
      </c>
      <c r="AS67">
        <f>+sum_sheet!AR77*'Equivalence Factor'!$L77</f>
        <v>0.1572564389651093</v>
      </c>
      <c r="AT67">
        <f>+sum_sheet!AS77*'Equivalence Factor'!$L77</f>
        <v>0.151107177799023</v>
      </c>
    </row>
    <row r="68" spans="1:46" x14ac:dyDescent="0.2">
      <c r="A68" s="3" t="s">
        <v>188</v>
      </c>
      <c r="B68" t="s">
        <v>343</v>
      </c>
      <c r="C68" s="3" t="s">
        <v>3</v>
      </c>
      <c r="D68" s="3" t="s">
        <v>325</v>
      </c>
      <c r="E68" s="3" t="s">
        <v>196</v>
      </c>
      <c r="F68" s="3">
        <v>1</v>
      </c>
      <c r="G68" s="3" t="s">
        <v>15</v>
      </c>
      <c r="H68" s="3" t="s">
        <v>3</v>
      </c>
      <c r="I68" s="3" t="s">
        <v>171</v>
      </c>
      <c r="J68" s="5" t="s">
        <v>291</v>
      </c>
      <c r="K68" s="5" t="s">
        <v>194</v>
      </c>
      <c r="L68" s="5" t="s">
        <v>176</v>
      </c>
      <c r="M68" s="4">
        <v>38</v>
      </c>
      <c r="O68">
        <f>+sum_sheet!N78*'Equivalence Factor'!$L78</f>
        <v>4.1086629642057469E-2</v>
      </c>
      <c r="P68">
        <f>+sum_sheet!O78*'Equivalence Factor'!$L78</f>
        <v>4.0086111990108128E-2</v>
      </c>
      <c r="Q68">
        <f>+sum_sheet!P78*'Equivalence Factor'!$L78</f>
        <v>3.7627428527122087E-2</v>
      </c>
      <c r="R68">
        <f>+sum_sheet!Q78*'Equivalence Factor'!$L78</f>
        <v>3.534529659450459E-2</v>
      </c>
      <c r="S68">
        <f>+sum_sheet!R78*'Equivalence Factor'!$L78</f>
        <v>3.45854123363541E-2</v>
      </c>
      <c r="T68">
        <f>+sum_sheet!S78*'Equivalence Factor'!$L78</f>
        <v>3.5690833023201175E-2</v>
      </c>
      <c r="U68">
        <f>+sum_sheet!T78*'Equivalence Factor'!$L78</f>
        <v>5.1249650229950677E-2</v>
      </c>
      <c r="V68">
        <f>+sum_sheet!U78*'Equivalence Factor'!$L78</f>
        <v>3.7147802365905612E-2</v>
      </c>
      <c r="W68">
        <f>+sum_sheet!V78*'Equivalence Factor'!$L78</f>
        <v>4.9092974839976683E-2</v>
      </c>
      <c r="X68">
        <f>+sum_sheet!W78*'Equivalence Factor'!$L78</f>
        <v>4.9735935494257685E-2</v>
      </c>
      <c r="Y68">
        <f>+sum_sheet!X78*'Equivalence Factor'!$L78</f>
        <v>6.5115037900201858E-2</v>
      </c>
      <c r="Z68">
        <f>+sum_sheet!Y78*'Equivalence Factor'!$L78</f>
        <v>6.4163444119049159E-2</v>
      </c>
      <c r="AA68">
        <f>+sum_sheet!Z78*'Equivalence Factor'!$L78</f>
        <v>1.4131588877520375E-2</v>
      </c>
      <c r="AB68">
        <f>+sum_sheet!AA78*'Equivalence Factor'!$L78</f>
        <v>1.2590819644447268E-2</v>
      </c>
      <c r="AC68">
        <f>+sum_sheet!AB78*'Equivalence Factor'!$L78</f>
        <v>5.8166506886288341E-2</v>
      </c>
      <c r="AD68">
        <f>+sum_sheet!AC78*'Equivalence Factor'!$L78</f>
        <v>5.3811491603457731E-2</v>
      </c>
      <c r="AE68">
        <f>+sum_sheet!AD78*'Equivalence Factor'!$L78</f>
        <v>5.7515022272158406E-2</v>
      </c>
      <c r="AF68">
        <f>+sum_sheet!AE78*'Equivalence Factor'!$L78</f>
        <v>5.1457199152019364E-2</v>
      </c>
      <c r="AG68">
        <f>+sum_sheet!AF78*'Equivalence Factor'!$L78</f>
        <v>5.0805704564296415E-2</v>
      </c>
      <c r="AH68">
        <f>+sum_sheet!AG78*'Equivalence Factor'!$L78</f>
        <v>5.1444330454849301E-2</v>
      </c>
      <c r="AI68">
        <f>+sum_sheet!AH78*'Equivalence Factor'!$L78</f>
        <v>5.1468500445154837E-2</v>
      </c>
      <c r="AJ68">
        <f>+sum_sheet!AI78*'Equivalence Factor'!$L78</f>
        <v>4.0592653902448664E-2</v>
      </c>
      <c r="AK68">
        <f>+sum_sheet!AJ78*'Equivalence Factor'!$L78</f>
        <v>3.8799767783670502E-2</v>
      </c>
      <c r="AL68">
        <f>+sum_sheet!AK78*'Equivalence Factor'!$L78</f>
        <v>3.7366715405940075E-2</v>
      </c>
      <c r="AM68">
        <f>+sum_sheet!AL78*'Equivalence Factor'!$L78</f>
        <v>3.7114245135254915E-2</v>
      </c>
      <c r="AN68">
        <f>+sum_sheet!AM78*'Equivalence Factor'!$L78</f>
        <v>3.7758291697676902E-2</v>
      </c>
      <c r="AO68">
        <f>+sum_sheet!AN78*'Equivalence Factor'!$L78</f>
        <v>3.5264121577222307E-2</v>
      </c>
      <c r="AP68">
        <f>+sum_sheet!AO78*'Equivalence Factor'!$L78</f>
        <v>3.5228493775158791E-2</v>
      </c>
      <c r="AQ68">
        <f>+sum_sheet!AP78*'Equivalence Factor'!$L78</f>
        <v>3.8045666707543842E-2</v>
      </c>
      <c r="AR68">
        <f>+sum_sheet!AQ78*'Equivalence Factor'!$L78</f>
        <v>8.9338809665105004E-2</v>
      </c>
      <c r="AS68">
        <f>+sum_sheet!AR78*'Equivalence Factor'!$L78</f>
        <v>9.8125267251766166E-2</v>
      </c>
      <c r="AT68">
        <f>+sum_sheet!AS78*'Equivalence Factor'!$L78</f>
        <v>7.9211554593944897E-2</v>
      </c>
    </row>
    <row r="69" spans="1:46" x14ac:dyDescent="0.2">
      <c r="A69" s="3" t="s">
        <v>189</v>
      </c>
      <c r="B69" t="s">
        <v>336</v>
      </c>
      <c r="C69" s="3" t="s">
        <v>9</v>
      </c>
      <c r="D69" s="3" t="s">
        <v>192</v>
      </c>
      <c r="E69" s="3" t="s">
        <v>193</v>
      </c>
      <c r="F69" s="3">
        <v>1</v>
      </c>
      <c r="G69" s="3" t="s">
        <v>15</v>
      </c>
      <c r="H69" s="3" t="s">
        <v>14</v>
      </c>
      <c r="I69" s="3" t="s">
        <v>171</v>
      </c>
      <c r="J69" s="5" t="s">
        <v>291</v>
      </c>
      <c r="K69" s="5" t="s">
        <v>172</v>
      </c>
      <c r="L69" s="5" t="s">
        <v>173</v>
      </c>
      <c r="M69" s="4">
        <v>30</v>
      </c>
      <c r="O69">
        <f>+sum_sheet!N79*'Equivalence Factor'!$L79</f>
        <v>0</v>
      </c>
      <c r="P69">
        <f>+sum_sheet!O79*'Equivalence Factor'!$L79</f>
        <v>0</v>
      </c>
      <c r="Q69">
        <f>+sum_sheet!P79*'Equivalence Factor'!$L79</f>
        <v>0</v>
      </c>
      <c r="R69">
        <f>+sum_sheet!Q79*'Equivalence Factor'!$L79</f>
        <v>0</v>
      </c>
      <c r="S69">
        <f>+sum_sheet!R79*'Equivalence Factor'!$L79</f>
        <v>0</v>
      </c>
      <c r="T69">
        <f>+sum_sheet!S79*'Equivalence Factor'!$L79</f>
        <v>0</v>
      </c>
      <c r="U69">
        <f>+sum_sheet!T79*'Equivalence Factor'!$L79</f>
        <v>0</v>
      </c>
      <c r="V69">
        <f>+sum_sheet!U79*'Equivalence Factor'!$L79</f>
        <v>0</v>
      </c>
      <c r="W69">
        <f>+sum_sheet!V79*'Equivalence Factor'!$L79</f>
        <v>0</v>
      </c>
      <c r="X69">
        <f>+sum_sheet!W79*'Equivalence Factor'!$L79</f>
        <v>0</v>
      </c>
      <c r="Y69">
        <f>+sum_sheet!X79*'Equivalence Factor'!$L79</f>
        <v>0</v>
      </c>
      <c r="Z69">
        <f>+sum_sheet!Y79*'Equivalence Factor'!$L79</f>
        <v>0</v>
      </c>
      <c r="AA69">
        <f>+sum_sheet!Z79*'Equivalence Factor'!$L79</f>
        <v>0</v>
      </c>
      <c r="AB69">
        <f>+sum_sheet!AA79*'Equivalence Factor'!$L79</f>
        <v>0</v>
      </c>
      <c r="AC69">
        <f>+sum_sheet!AB79*'Equivalence Factor'!$L79</f>
        <v>0</v>
      </c>
      <c r="AD69">
        <f>+sum_sheet!AC79*'Equivalence Factor'!$L79</f>
        <v>0</v>
      </c>
      <c r="AE69">
        <f>+sum_sheet!AD79*'Equivalence Factor'!$L79</f>
        <v>0</v>
      </c>
      <c r="AF69">
        <f>+sum_sheet!AE79*'Equivalence Factor'!$L79</f>
        <v>0</v>
      </c>
      <c r="AG69">
        <f>+sum_sheet!AF79*'Equivalence Factor'!$L79</f>
        <v>0</v>
      </c>
      <c r="AH69">
        <f>+sum_sheet!AG79*'Equivalence Factor'!$L79</f>
        <v>0</v>
      </c>
      <c r="AI69">
        <f>+sum_sheet!AH79*'Equivalence Factor'!$L79</f>
        <v>0</v>
      </c>
      <c r="AJ69">
        <f>+sum_sheet!AI79*'Equivalence Factor'!$L79</f>
        <v>0</v>
      </c>
      <c r="AK69">
        <f>+sum_sheet!AJ79*'Equivalence Factor'!$L79</f>
        <v>0</v>
      </c>
      <c r="AL69">
        <f>+sum_sheet!AK79*'Equivalence Factor'!$L79</f>
        <v>0</v>
      </c>
      <c r="AM69">
        <f>+sum_sheet!AL79*'Equivalence Factor'!$L79</f>
        <v>1.6258513985620383E-2</v>
      </c>
      <c r="AN69">
        <f>+sum_sheet!AM79*'Equivalence Factor'!$L79</f>
        <v>3.711744680878655E-2</v>
      </c>
      <c r="AO69">
        <f>+sum_sheet!AN79*'Equivalence Factor'!$L79</f>
        <v>3.6490495208180852E-2</v>
      </c>
      <c r="AP69">
        <f>+sum_sheet!AO79*'Equivalence Factor'!$L79</f>
        <v>4.0707735578150425E-2</v>
      </c>
      <c r="AQ69">
        <f>+sum_sheet!AP79*'Equivalence Factor'!$L79</f>
        <v>0</v>
      </c>
      <c r="AR69">
        <f>+sum_sheet!AQ79*'Equivalence Factor'!$L79</f>
        <v>2.5356663185971528E-2</v>
      </c>
      <c r="AS69">
        <f>+sum_sheet!AR79*'Equivalence Factor'!$L79</f>
        <v>3.3722283622326876E-2</v>
      </c>
      <c r="AT69">
        <f>+sum_sheet!AS79*'Equivalence Factor'!$L79</f>
        <v>4.7991336866377327E-2</v>
      </c>
    </row>
    <row r="70" spans="1:46" x14ac:dyDescent="0.2">
      <c r="A70" s="3" t="s">
        <v>189</v>
      </c>
      <c r="B70" t="s">
        <v>336</v>
      </c>
      <c r="C70" s="3" t="s">
        <v>9</v>
      </c>
      <c r="D70" s="3" t="s">
        <v>190</v>
      </c>
      <c r="E70" s="3" t="s">
        <v>191</v>
      </c>
      <c r="F70" s="3">
        <v>1</v>
      </c>
      <c r="G70" s="3" t="s">
        <v>15</v>
      </c>
      <c r="H70" s="3" t="s">
        <v>14</v>
      </c>
      <c r="I70" s="3" t="s">
        <v>171</v>
      </c>
      <c r="J70" s="5" t="s">
        <v>291</v>
      </c>
      <c r="K70" s="5" t="s">
        <v>172</v>
      </c>
      <c r="L70" s="5" t="s">
        <v>174</v>
      </c>
      <c r="M70" s="4">
        <v>31</v>
      </c>
      <c r="O70">
        <f>+sum_sheet!N80*'Equivalence Factor'!$L80</f>
        <v>5.2510031630832503E-2</v>
      </c>
      <c r="P70">
        <f>+sum_sheet!O80*'Equivalence Factor'!$L80</f>
        <v>3.8566469019323237E-2</v>
      </c>
      <c r="Q70">
        <f>+sum_sheet!P80*'Equivalence Factor'!$L80</f>
        <v>4.3823305452236234E-2</v>
      </c>
      <c r="R70">
        <f>+sum_sheet!Q80*'Equivalence Factor'!$L80</f>
        <v>4.2844811394357259E-2</v>
      </c>
      <c r="S70">
        <f>+sum_sheet!R80*'Equivalence Factor'!$L80</f>
        <v>4.6750886812422517E-2</v>
      </c>
      <c r="T70">
        <f>+sum_sheet!S80*'Equivalence Factor'!$L80</f>
        <v>4.293909957966676E-2</v>
      </c>
      <c r="U70">
        <f>+sum_sheet!T80*'Equivalence Factor'!$L80</f>
        <v>4.6384055157398171E-2</v>
      </c>
      <c r="V70">
        <f>+sum_sheet!U80*'Equivalence Factor'!$L80</f>
        <v>5.0065854183676553E-2</v>
      </c>
      <c r="W70">
        <f>+sum_sheet!V80*'Equivalence Factor'!$L80</f>
        <v>6.4201206447125722E-2</v>
      </c>
      <c r="X70">
        <f>+sum_sheet!W80*'Equivalence Factor'!$L80</f>
        <v>6.4310205207293844E-2</v>
      </c>
      <c r="Y70">
        <f>+sum_sheet!X80*'Equivalence Factor'!$L80</f>
        <v>6.355624167649461E-2</v>
      </c>
      <c r="Z70">
        <f>+sum_sheet!Y80*'Equivalence Factor'!$L80</f>
        <v>6.2888344854697742E-2</v>
      </c>
      <c r="AA70">
        <f>+sum_sheet!Z80*'Equivalence Factor'!$L80</f>
        <v>7.3696505972360826E-2</v>
      </c>
      <c r="AB70">
        <f>+sum_sheet!AA80*'Equivalence Factor'!$L80</f>
        <v>7.5509425988085521E-2</v>
      </c>
      <c r="AC70">
        <f>+sum_sheet!AB80*'Equivalence Factor'!$L80</f>
        <v>7.5203255496083948E-2</v>
      </c>
      <c r="AD70">
        <f>+sum_sheet!AC80*'Equivalence Factor'!$L80</f>
        <v>6.8732172608787681E-2</v>
      </c>
      <c r="AE70">
        <f>+sum_sheet!AD80*'Equivalence Factor'!$L80</f>
        <v>6.1218000060479602E-2</v>
      </c>
      <c r="AF70">
        <f>+sum_sheet!AE80*'Equivalence Factor'!$L80</f>
        <v>8.5926331851583063E-2</v>
      </c>
      <c r="AG70">
        <f>+sum_sheet!AF80*'Equivalence Factor'!$L80</f>
        <v>0.10815039136351268</v>
      </c>
      <c r="AH70">
        <f>+sum_sheet!AG80*'Equivalence Factor'!$L80</f>
        <v>0.1015811430645015</v>
      </c>
      <c r="AI70">
        <f>+sum_sheet!AH80*'Equivalence Factor'!$L80</f>
        <v>0.12760988865705042</v>
      </c>
      <c r="AJ70">
        <f>+sum_sheet!AI80*'Equivalence Factor'!$L80</f>
        <v>0.11723365109316881</v>
      </c>
      <c r="AK70">
        <f>+sum_sheet!AJ80*'Equivalence Factor'!$L80</f>
        <v>0.11021994943905168</v>
      </c>
      <c r="AL70">
        <f>+sum_sheet!AK80*'Equivalence Factor'!$L80</f>
        <v>0.11473803453385346</v>
      </c>
      <c r="AM70">
        <f>+sum_sheet!AL80*'Equivalence Factor'!$L80</f>
        <v>0.12677019105506668</v>
      </c>
      <c r="AN70">
        <f>+sum_sheet!AM80*'Equivalence Factor'!$L80</f>
        <v>0.17977418585382077</v>
      </c>
      <c r="AO70">
        <f>+sum_sheet!AN80*'Equivalence Factor'!$L80</f>
        <v>0.17694690943179411</v>
      </c>
      <c r="AP70">
        <f>+sum_sheet!AO80*'Equivalence Factor'!$L80</f>
        <v>0.17257536679785665</v>
      </c>
      <c r="AQ70">
        <f>+sum_sheet!AP80*'Equivalence Factor'!$L80</f>
        <v>0.20338930184414847</v>
      </c>
      <c r="AR70">
        <f>+sum_sheet!AQ80*'Equivalence Factor'!$L80</f>
        <v>0.22131322015488614</v>
      </c>
      <c r="AS70">
        <f>+sum_sheet!AR80*'Equivalence Factor'!$L80</f>
        <v>0.23923713846562872</v>
      </c>
      <c r="AT70">
        <f>+sum_sheet!AS80*'Equivalence Factor'!$L80</f>
        <v>0.25716105677636641</v>
      </c>
    </row>
    <row r="71" spans="1:46" x14ac:dyDescent="0.2">
      <c r="A71" s="3" t="s">
        <v>189</v>
      </c>
      <c r="B71" t="s">
        <v>336</v>
      </c>
      <c r="C71" s="3" t="s">
        <v>3</v>
      </c>
      <c r="D71" s="3" t="s">
        <v>200</v>
      </c>
      <c r="E71" s="3" t="s">
        <v>201</v>
      </c>
      <c r="F71" s="3">
        <v>1</v>
      </c>
      <c r="G71" s="3" t="s">
        <v>18</v>
      </c>
      <c r="H71" s="3" t="s">
        <v>3</v>
      </c>
      <c r="I71" s="3" t="s">
        <v>171</v>
      </c>
      <c r="J71" s="3" t="s">
        <v>292</v>
      </c>
      <c r="K71" s="5" t="s">
        <v>205</v>
      </c>
      <c r="L71" s="28" t="s">
        <v>206</v>
      </c>
      <c r="M71" s="4">
        <v>45</v>
      </c>
      <c r="O71">
        <f>+sum_sheet!N81*'Equivalence Factor'!$L81</f>
        <v>1.2746697964628384</v>
      </c>
      <c r="P71">
        <f>+sum_sheet!O81*'Equivalence Factor'!$L81</f>
        <v>1.2116421028625568</v>
      </c>
      <c r="Q71">
        <f>+sum_sheet!P81*'Equivalence Factor'!$L81</f>
        <v>1.2120150648203902</v>
      </c>
      <c r="R71">
        <f>+sum_sheet!Q81*'Equivalence Factor'!$L81</f>
        <v>1.2792291247264496</v>
      </c>
      <c r="S71">
        <f>+sum_sheet!R81*'Equivalence Factor'!$L81</f>
        <v>1.2112707947097177</v>
      </c>
      <c r="T71">
        <f>+sum_sheet!S81*'Equivalence Factor'!$L81</f>
        <v>1.2834197708085777</v>
      </c>
      <c r="U71">
        <f>+sum_sheet!T81*'Equivalence Factor'!$L81</f>
        <v>1.3578128650777559</v>
      </c>
      <c r="V71">
        <f>+sum_sheet!U81*'Equivalence Factor'!$L81</f>
        <v>1.2480636810991215</v>
      </c>
      <c r="W71">
        <f>+sum_sheet!V81*'Equivalence Factor'!$L81</f>
        <v>1.3175753805630983</v>
      </c>
      <c r="X71">
        <f>+sum_sheet!W81*'Equivalence Factor'!$L81</f>
        <v>1.2454917438718318</v>
      </c>
      <c r="Y71">
        <f>+sum_sheet!X81*'Equivalence Factor'!$L81</f>
        <v>1.2212134257713458</v>
      </c>
      <c r="Z71">
        <f>+sum_sheet!Y81*'Equivalence Factor'!$L81</f>
        <v>1.2313095007673727</v>
      </c>
      <c r="AA71">
        <f>+sum_sheet!Z81*'Equivalence Factor'!$L81</f>
        <v>1.3360280637454931</v>
      </c>
      <c r="AB71">
        <f>+sum_sheet!AA81*'Equivalence Factor'!$L81</f>
        <v>1.3142403619583449</v>
      </c>
      <c r="AC71">
        <f>+sum_sheet!AB81*'Equivalence Factor'!$L81</f>
        <v>1.1522322564176228</v>
      </c>
      <c r="AD71">
        <f>+sum_sheet!AC81*'Equivalence Factor'!$L81</f>
        <v>1.1938329480607093</v>
      </c>
      <c r="AE71">
        <f>+sum_sheet!AD81*'Equivalence Factor'!$L81</f>
        <v>1.0810926054774033</v>
      </c>
      <c r="AF71">
        <f>+sum_sheet!AE81*'Equivalence Factor'!$L81</f>
        <v>1.3839709010854053</v>
      </c>
      <c r="AG71">
        <f>+sum_sheet!AF81*'Equivalence Factor'!$L81</f>
        <v>1.3415034764125144</v>
      </c>
      <c r="AH71">
        <f>+sum_sheet!AG81*'Equivalence Factor'!$L81</f>
        <v>1.1957459953579097</v>
      </c>
      <c r="AI71">
        <f>+sum_sheet!AH81*'Equivalence Factor'!$L81</f>
        <v>1.261367800588022</v>
      </c>
      <c r="AJ71">
        <f>+sum_sheet!AI81*'Equivalence Factor'!$L81</f>
        <v>1.3182727370622096</v>
      </c>
      <c r="AK71">
        <f>+sum_sheet!AJ81*'Equivalence Factor'!$L81</f>
        <v>1.2409316695249728</v>
      </c>
      <c r="AL71">
        <f>+sum_sheet!AK81*'Equivalence Factor'!$L81</f>
        <v>1.2185732712340334</v>
      </c>
      <c r="AM71">
        <f>+sum_sheet!AL81*'Equivalence Factor'!$L81</f>
        <v>1.070346929892747</v>
      </c>
      <c r="AN71">
        <f>+sum_sheet!AM81*'Equivalence Factor'!$L81</f>
        <v>1.3726592599983574</v>
      </c>
      <c r="AO71">
        <f>+sum_sheet!AN81*'Equivalence Factor'!$L81</f>
        <v>1.2949185356886546</v>
      </c>
      <c r="AP71">
        <f>+sum_sheet!AO81*'Equivalence Factor'!$L81</f>
        <v>1.3343833373735623</v>
      </c>
      <c r="AQ71">
        <f>+sum_sheet!AP81*'Equivalence Factor'!$L81</f>
        <v>1.3844961546970553</v>
      </c>
      <c r="AR71">
        <f>+sum_sheet!AQ81*'Equivalence Factor'!$L81</f>
        <v>1.4611265942188914</v>
      </c>
      <c r="AS71">
        <f>+sum_sheet!AR81*'Equivalence Factor'!$L81</f>
        <v>1.2866040560235961</v>
      </c>
      <c r="AT71">
        <f>+sum_sheet!AS81*'Equivalence Factor'!$L81</f>
        <v>0.83495409835708101</v>
      </c>
    </row>
    <row r="72" spans="1:46" x14ac:dyDescent="0.2">
      <c r="A72" s="3" t="s">
        <v>189</v>
      </c>
      <c r="B72" t="s">
        <v>336</v>
      </c>
      <c r="C72" s="3" t="s">
        <v>3</v>
      </c>
      <c r="D72" s="3" t="s">
        <v>208</v>
      </c>
      <c r="E72" s="3" t="s">
        <v>209</v>
      </c>
      <c r="F72" s="3">
        <v>1</v>
      </c>
      <c r="G72" s="3" t="s">
        <v>18</v>
      </c>
      <c r="H72" s="3" t="s">
        <v>3</v>
      </c>
      <c r="I72" s="3" t="s">
        <v>171</v>
      </c>
      <c r="J72" s="3" t="s">
        <v>292</v>
      </c>
      <c r="K72" s="5" t="s">
        <v>207</v>
      </c>
      <c r="L72" s="28"/>
      <c r="M72" s="4">
        <v>51</v>
      </c>
      <c r="O72">
        <f>+sum_sheet!N82*'Equivalence Factor'!$L82</f>
        <v>0.11224536135615</v>
      </c>
      <c r="P72">
        <f>+sum_sheet!O82*'Equivalence Factor'!$L82</f>
        <v>0.10215685353523926</v>
      </c>
      <c r="Q72">
        <f>+sum_sheet!P82*'Equivalence Factor'!$L82</f>
        <v>0.11590616514101253</v>
      </c>
      <c r="R72">
        <f>+sum_sheet!Q82*'Equivalence Factor'!$L82</f>
        <v>0.11566101579429283</v>
      </c>
      <c r="S72">
        <f>+sum_sheet!R82*'Equivalence Factor'!$L82</f>
        <v>9.6796692679284591E-2</v>
      </c>
      <c r="T72">
        <f>+sum_sheet!S82*'Equivalence Factor'!$L82</f>
        <v>0.1131416643443633</v>
      </c>
      <c r="U72">
        <f>+sum_sheet!T82*'Equivalence Factor'!$L82</f>
        <v>0.11612753520299898</v>
      </c>
      <c r="V72">
        <f>+sum_sheet!U82*'Equivalence Factor'!$L82</f>
        <v>0.11235787366173076</v>
      </c>
      <c r="W72">
        <f>+sum_sheet!V82*'Equivalence Factor'!$L82</f>
        <v>0.13410677497829837</v>
      </c>
      <c r="X72">
        <f>+sum_sheet!W82*'Equivalence Factor'!$L82</f>
        <v>0.11454669877160534</v>
      </c>
      <c r="Y72">
        <f>+sum_sheet!X82*'Equivalence Factor'!$L82</f>
        <v>0.10900984345954827</v>
      </c>
      <c r="Z72">
        <f>+sum_sheet!Y82*'Equivalence Factor'!$L82</f>
        <v>0.12079836808413336</v>
      </c>
      <c r="AA72">
        <f>+sum_sheet!Z82*'Equivalence Factor'!$L82</f>
        <v>0.1134365223499787</v>
      </c>
      <c r="AB72">
        <f>+sum_sheet!AA82*'Equivalence Factor'!$L82</f>
        <v>0.10987454574228007</v>
      </c>
      <c r="AC72">
        <f>+sum_sheet!AB82*'Equivalence Factor'!$L82</f>
        <v>0.11636882589135089</v>
      </c>
      <c r="AD72">
        <f>+sum_sheet!AC82*'Equivalence Factor'!$L82</f>
        <v>0.11148497140000434</v>
      </c>
      <c r="AE72">
        <f>+sum_sheet!AD82*'Equivalence Factor'!$L82</f>
        <v>0.10380154279962599</v>
      </c>
      <c r="AF72">
        <f>+sum_sheet!AE82*'Equivalence Factor'!$L82</f>
        <v>0.12589956560590773</v>
      </c>
      <c r="AG72">
        <f>+sum_sheet!AF82*'Equivalence Factor'!$L82</f>
        <v>0.13579058651527601</v>
      </c>
      <c r="AH72">
        <f>+sum_sheet!AG82*'Equivalence Factor'!$L82</f>
        <v>0.12627198384801672</v>
      </c>
      <c r="AI72">
        <f>+sum_sheet!AH82*'Equivalence Factor'!$L82</f>
        <v>0.13123859216295486</v>
      </c>
      <c r="AJ72">
        <f>+sum_sheet!AI82*'Equivalence Factor'!$L82</f>
        <v>0.120753806417359</v>
      </c>
      <c r="AK72">
        <f>+sum_sheet!AJ82*'Equivalence Factor'!$L82</f>
        <v>9.3611383561952519E-2</v>
      </c>
      <c r="AL72">
        <f>+sum_sheet!AK82*'Equivalence Factor'!$L82</f>
        <v>0.11734585688257319</v>
      </c>
      <c r="AM72">
        <f>+sum_sheet!AL82*'Equivalence Factor'!$L82</f>
        <v>0.10939166755593384</v>
      </c>
      <c r="AN72">
        <f>+sum_sheet!AM82*'Equivalence Factor'!$L82</f>
        <v>0.15989387193443097</v>
      </c>
      <c r="AO72">
        <f>+sum_sheet!AN82*'Equivalence Factor'!$L82</f>
        <v>0.14755054140581014</v>
      </c>
      <c r="AP72">
        <f>+sum_sheet!AO82*'Equivalence Factor'!$L82</f>
        <v>0.15517845560274368</v>
      </c>
      <c r="AQ72">
        <f>+sum_sheet!AP82*'Equivalence Factor'!$L82</f>
        <v>0.16321099608733561</v>
      </c>
      <c r="AR72">
        <f>+sum_sheet!AQ82*'Equivalence Factor'!$L82</f>
        <v>0.16081321052975528</v>
      </c>
      <c r="AS72">
        <f>+sum_sheet!AR82*'Equivalence Factor'!$L82</f>
        <v>0.13968343436240635</v>
      </c>
      <c r="AT72">
        <f>+sum_sheet!AS82*'Equivalence Factor'!$L82</f>
        <v>9.3074601901566731E-2</v>
      </c>
    </row>
    <row r="73" spans="1:46" x14ac:dyDescent="0.2">
      <c r="A73" s="3" t="s">
        <v>189</v>
      </c>
      <c r="B73" t="s">
        <v>336</v>
      </c>
      <c r="C73" s="3" t="s">
        <v>9</v>
      </c>
      <c r="D73" s="3" t="s">
        <v>232</v>
      </c>
      <c r="E73" s="3" t="s">
        <v>233</v>
      </c>
      <c r="F73" s="3">
        <v>0</v>
      </c>
      <c r="G73" s="3" t="s">
        <v>0</v>
      </c>
      <c r="H73" s="3" t="s">
        <v>0</v>
      </c>
      <c r="I73" s="3" t="s">
        <v>0</v>
      </c>
      <c r="J73" s="3" t="s">
        <v>0</v>
      </c>
      <c r="K73" s="3" t="s">
        <v>0</v>
      </c>
      <c r="L73" s="3" t="s">
        <v>0</v>
      </c>
      <c r="M73" s="4">
        <v>-1</v>
      </c>
      <c r="O73">
        <f>+sum_sheet!N83*'Equivalence Factor'!$L83</f>
        <v>0</v>
      </c>
      <c r="P73">
        <f>+sum_sheet!O83*'Equivalence Factor'!$L83</f>
        <v>0</v>
      </c>
      <c r="Q73">
        <f>+sum_sheet!P83*'Equivalence Factor'!$L83</f>
        <v>0</v>
      </c>
      <c r="R73">
        <f>+sum_sheet!Q83*'Equivalence Factor'!$L83</f>
        <v>0</v>
      </c>
      <c r="S73">
        <f>+sum_sheet!R83*'Equivalence Factor'!$L83</f>
        <v>0</v>
      </c>
      <c r="T73">
        <f>+sum_sheet!S83*'Equivalence Factor'!$L83</f>
        <v>0</v>
      </c>
      <c r="U73">
        <f>+sum_sheet!T83*'Equivalence Factor'!$L83</f>
        <v>0</v>
      </c>
      <c r="V73">
        <f>+sum_sheet!U83*'Equivalence Factor'!$L83</f>
        <v>0</v>
      </c>
      <c r="W73">
        <f>+sum_sheet!V83*'Equivalence Factor'!$L83</f>
        <v>0</v>
      </c>
      <c r="X73">
        <f>+sum_sheet!W83*'Equivalence Factor'!$L83</f>
        <v>0</v>
      </c>
      <c r="Y73">
        <f>+sum_sheet!X83*'Equivalence Factor'!$L83</f>
        <v>0</v>
      </c>
      <c r="Z73">
        <f>+sum_sheet!Y83*'Equivalence Factor'!$L83</f>
        <v>0</v>
      </c>
      <c r="AA73">
        <f>+sum_sheet!Z83*'Equivalence Factor'!$L83</f>
        <v>0</v>
      </c>
      <c r="AB73">
        <f>+sum_sheet!AA83*'Equivalence Factor'!$L83</f>
        <v>0</v>
      </c>
      <c r="AC73">
        <f>+sum_sheet!AB83*'Equivalence Factor'!$L83</f>
        <v>0</v>
      </c>
      <c r="AD73">
        <f>+sum_sheet!AC83*'Equivalence Factor'!$L83</f>
        <v>0</v>
      </c>
      <c r="AE73">
        <f>+sum_sheet!AD83*'Equivalence Factor'!$L83</f>
        <v>0</v>
      </c>
      <c r="AF73">
        <f>+sum_sheet!AE83*'Equivalence Factor'!$L83</f>
        <v>0</v>
      </c>
      <c r="AG73">
        <f>+sum_sheet!AF83*'Equivalence Factor'!$L83</f>
        <v>0</v>
      </c>
      <c r="AH73">
        <f>+sum_sheet!AG83*'Equivalence Factor'!$L83</f>
        <v>0</v>
      </c>
      <c r="AI73">
        <f>+sum_sheet!AH83*'Equivalence Factor'!$L83</f>
        <v>0</v>
      </c>
      <c r="AJ73">
        <f>+sum_sheet!AI83*'Equivalence Factor'!$L83</f>
        <v>0</v>
      </c>
      <c r="AK73">
        <f>+sum_sheet!AJ83*'Equivalence Factor'!$L83</f>
        <v>0</v>
      </c>
      <c r="AL73">
        <f>+sum_sheet!AK83*'Equivalence Factor'!$L83</f>
        <v>0</v>
      </c>
      <c r="AM73">
        <f>+sum_sheet!AL83*'Equivalence Factor'!$L83</f>
        <v>0</v>
      </c>
      <c r="AN73">
        <f>+sum_sheet!AM83*'Equivalence Factor'!$L83</f>
        <v>0</v>
      </c>
      <c r="AO73">
        <f>+sum_sheet!AN83*'Equivalence Factor'!$L83</f>
        <v>0</v>
      </c>
      <c r="AP73">
        <f>+sum_sheet!AO83*'Equivalence Factor'!$L83</f>
        <v>0</v>
      </c>
      <c r="AQ73">
        <f>+sum_sheet!AP83*'Equivalence Factor'!$L83</f>
        <v>0</v>
      </c>
      <c r="AR73">
        <f>+sum_sheet!AQ83*'Equivalence Factor'!$L83</f>
        <v>0</v>
      </c>
      <c r="AS73">
        <f>+sum_sheet!AR83*'Equivalence Factor'!$L83</f>
        <v>0</v>
      </c>
      <c r="AT73">
        <f>+sum_sheet!AS83*'Equivalence Factor'!$L83</f>
        <v>0</v>
      </c>
    </row>
    <row r="74" spans="1:46" x14ac:dyDescent="0.2">
      <c r="A74" s="3" t="s">
        <v>268</v>
      </c>
      <c r="B74" t="s">
        <v>340</v>
      </c>
      <c r="C74" s="3" t="s">
        <v>17</v>
      </c>
      <c r="D74" s="3" t="s">
        <v>272</v>
      </c>
      <c r="E74" s="3" t="s">
        <v>273</v>
      </c>
      <c r="F74" s="3">
        <v>0</v>
      </c>
      <c r="G74" s="3" t="s">
        <v>0</v>
      </c>
      <c r="H74" s="3" t="s">
        <v>0</v>
      </c>
      <c r="I74" s="3" t="s">
        <v>0</v>
      </c>
      <c r="J74" s="3" t="s">
        <v>0</v>
      </c>
      <c r="K74" s="3" t="s">
        <v>0</v>
      </c>
      <c r="L74" s="3" t="s">
        <v>0</v>
      </c>
      <c r="M74" s="4">
        <v>-1</v>
      </c>
      <c r="O74">
        <f>+sum_sheet!N84*'Equivalence Factor'!$L84</f>
        <v>0</v>
      </c>
      <c r="P74">
        <f>+sum_sheet!O84*'Equivalence Factor'!$L84</f>
        <v>0</v>
      </c>
      <c r="Q74">
        <f>+sum_sheet!P84*'Equivalence Factor'!$L84</f>
        <v>0</v>
      </c>
      <c r="R74">
        <f>+sum_sheet!Q84*'Equivalence Factor'!$L84</f>
        <v>0</v>
      </c>
      <c r="S74">
        <f>+sum_sheet!R84*'Equivalence Factor'!$L84</f>
        <v>0</v>
      </c>
      <c r="T74">
        <f>+sum_sheet!S84*'Equivalence Factor'!$L84</f>
        <v>0</v>
      </c>
      <c r="U74">
        <f>+sum_sheet!T84*'Equivalence Factor'!$L84</f>
        <v>0</v>
      </c>
      <c r="V74">
        <f>+sum_sheet!U84*'Equivalence Factor'!$L84</f>
        <v>0</v>
      </c>
      <c r="W74">
        <f>+sum_sheet!V84*'Equivalence Factor'!$L84</f>
        <v>0</v>
      </c>
      <c r="X74">
        <f>+sum_sheet!W84*'Equivalence Factor'!$L84</f>
        <v>0</v>
      </c>
      <c r="Y74">
        <f>+sum_sheet!X84*'Equivalence Factor'!$L84</f>
        <v>0</v>
      </c>
      <c r="Z74">
        <f>+sum_sheet!Y84*'Equivalence Factor'!$L84</f>
        <v>0</v>
      </c>
      <c r="AA74">
        <f>+sum_sheet!Z84*'Equivalence Factor'!$L84</f>
        <v>0</v>
      </c>
      <c r="AB74">
        <f>+sum_sheet!AA84*'Equivalence Factor'!$L84</f>
        <v>0</v>
      </c>
      <c r="AC74">
        <f>+sum_sheet!AB84*'Equivalence Factor'!$L84</f>
        <v>0</v>
      </c>
      <c r="AD74">
        <f>+sum_sheet!AC84*'Equivalence Factor'!$L84</f>
        <v>0</v>
      </c>
      <c r="AE74">
        <f>+sum_sheet!AD84*'Equivalence Factor'!$L84</f>
        <v>0</v>
      </c>
      <c r="AF74">
        <f>+sum_sheet!AE84*'Equivalence Factor'!$L84</f>
        <v>0</v>
      </c>
      <c r="AG74">
        <f>+sum_sheet!AF84*'Equivalence Factor'!$L84</f>
        <v>0</v>
      </c>
      <c r="AH74">
        <f>+sum_sheet!AG84*'Equivalence Factor'!$L84</f>
        <v>0</v>
      </c>
      <c r="AI74">
        <f>+sum_sheet!AH84*'Equivalence Factor'!$L84</f>
        <v>0</v>
      </c>
      <c r="AJ74">
        <f>+sum_sheet!AI84*'Equivalence Factor'!$L84</f>
        <v>0</v>
      </c>
      <c r="AK74">
        <f>+sum_sheet!AJ84*'Equivalence Factor'!$L84</f>
        <v>0</v>
      </c>
      <c r="AL74">
        <f>+sum_sheet!AK84*'Equivalence Factor'!$L84</f>
        <v>0</v>
      </c>
      <c r="AM74">
        <f>+sum_sheet!AL84*'Equivalence Factor'!$L84</f>
        <v>0</v>
      </c>
      <c r="AN74">
        <f>+sum_sheet!AM84*'Equivalence Factor'!$L84</f>
        <v>0</v>
      </c>
      <c r="AO74">
        <f>+sum_sheet!AN84*'Equivalence Factor'!$L84</f>
        <v>0</v>
      </c>
      <c r="AP74">
        <f>+sum_sheet!AO84*'Equivalence Factor'!$L84</f>
        <v>0</v>
      </c>
      <c r="AQ74">
        <f>+sum_sheet!AP84*'Equivalence Factor'!$L84</f>
        <v>0</v>
      </c>
      <c r="AR74">
        <f>+sum_sheet!AQ84*'Equivalence Factor'!$L84</f>
        <v>0</v>
      </c>
      <c r="AS74">
        <f>+sum_sheet!AR84*'Equivalence Factor'!$L84</f>
        <v>0</v>
      </c>
      <c r="AT74">
        <f>+sum_sheet!AS84*'Equivalence Factor'!$L84</f>
        <v>0</v>
      </c>
    </row>
    <row r="75" spans="1:46" x14ac:dyDescent="0.2">
      <c r="A75" s="3" t="s">
        <v>268</v>
      </c>
      <c r="B75" t="s">
        <v>340</v>
      </c>
      <c r="C75" s="3" t="s">
        <v>17</v>
      </c>
      <c r="D75" s="3" t="s">
        <v>274</v>
      </c>
      <c r="E75" s="3" t="s">
        <v>275</v>
      </c>
      <c r="F75" s="3">
        <v>0</v>
      </c>
      <c r="G75" s="3" t="s">
        <v>0</v>
      </c>
      <c r="H75" s="3" t="s">
        <v>0</v>
      </c>
      <c r="I75" s="3" t="s">
        <v>0</v>
      </c>
      <c r="J75" s="3" t="s">
        <v>0</v>
      </c>
      <c r="K75" s="3" t="s">
        <v>0</v>
      </c>
      <c r="L75" s="3" t="s">
        <v>0</v>
      </c>
      <c r="M75" s="4">
        <v>-1</v>
      </c>
      <c r="O75">
        <f>+sum_sheet!N85*'Equivalence Factor'!$L85</f>
        <v>0</v>
      </c>
      <c r="P75">
        <f>+sum_sheet!O85*'Equivalence Factor'!$L85</f>
        <v>0</v>
      </c>
      <c r="Q75">
        <f>+sum_sheet!P85*'Equivalence Factor'!$L85</f>
        <v>0</v>
      </c>
      <c r="R75">
        <f>+sum_sheet!Q85*'Equivalence Factor'!$L85</f>
        <v>0</v>
      </c>
      <c r="S75">
        <f>+sum_sheet!R85*'Equivalence Factor'!$L85</f>
        <v>0</v>
      </c>
      <c r="T75">
        <f>+sum_sheet!S85*'Equivalence Factor'!$L85</f>
        <v>0</v>
      </c>
      <c r="U75">
        <f>+sum_sheet!T85*'Equivalence Factor'!$L85</f>
        <v>0</v>
      </c>
      <c r="V75">
        <f>+sum_sheet!U85*'Equivalence Factor'!$L85</f>
        <v>0</v>
      </c>
      <c r="W75">
        <f>+sum_sheet!V85*'Equivalence Factor'!$L85</f>
        <v>0</v>
      </c>
      <c r="X75">
        <f>+sum_sheet!W85*'Equivalence Factor'!$L85</f>
        <v>0</v>
      </c>
      <c r="Y75">
        <f>+sum_sheet!X85*'Equivalence Factor'!$L85</f>
        <v>0</v>
      </c>
      <c r="Z75">
        <f>+sum_sheet!Y85*'Equivalence Factor'!$L85</f>
        <v>0</v>
      </c>
      <c r="AA75">
        <f>+sum_sheet!Z85*'Equivalence Factor'!$L85</f>
        <v>0</v>
      </c>
      <c r="AB75">
        <f>+sum_sheet!AA85*'Equivalence Factor'!$L85</f>
        <v>0</v>
      </c>
      <c r="AC75">
        <f>+sum_sheet!AB85*'Equivalence Factor'!$L85</f>
        <v>0</v>
      </c>
      <c r="AD75">
        <f>+sum_sheet!AC85*'Equivalence Factor'!$L85</f>
        <v>0</v>
      </c>
      <c r="AE75">
        <f>+sum_sheet!AD85*'Equivalence Factor'!$L85</f>
        <v>0</v>
      </c>
      <c r="AF75">
        <f>+sum_sheet!AE85*'Equivalence Factor'!$L85</f>
        <v>0</v>
      </c>
      <c r="AG75">
        <f>+sum_sheet!AF85*'Equivalence Factor'!$L85</f>
        <v>0</v>
      </c>
      <c r="AH75">
        <f>+sum_sheet!AG85*'Equivalence Factor'!$L85</f>
        <v>0</v>
      </c>
      <c r="AI75">
        <f>+sum_sheet!AH85*'Equivalence Factor'!$L85</f>
        <v>0</v>
      </c>
      <c r="AJ75">
        <f>+sum_sheet!AI85*'Equivalence Factor'!$L85</f>
        <v>0</v>
      </c>
      <c r="AK75">
        <f>+sum_sheet!AJ85*'Equivalence Factor'!$L85</f>
        <v>0</v>
      </c>
      <c r="AL75">
        <f>+sum_sheet!AK85*'Equivalence Factor'!$L85</f>
        <v>0</v>
      </c>
      <c r="AM75">
        <f>+sum_sheet!AL85*'Equivalence Factor'!$L85</f>
        <v>0</v>
      </c>
      <c r="AN75">
        <f>+sum_sheet!AM85*'Equivalence Factor'!$L85</f>
        <v>0</v>
      </c>
      <c r="AO75">
        <f>+sum_sheet!AN85*'Equivalence Factor'!$L85</f>
        <v>0</v>
      </c>
      <c r="AP75">
        <f>+sum_sheet!AO85*'Equivalence Factor'!$L85</f>
        <v>0</v>
      </c>
      <c r="AQ75">
        <f>+sum_sheet!AP85*'Equivalence Factor'!$L85</f>
        <v>0</v>
      </c>
      <c r="AR75">
        <f>+sum_sheet!AQ85*'Equivalence Factor'!$L85</f>
        <v>0</v>
      </c>
      <c r="AS75">
        <f>+sum_sheet!AR85*'Equivalence Factor'!$L85</f>
        <v>0</v>
      </c>
      <c r="AT75">
        <f>+sum_sheet!AS85*'Equivalence Factor'!$L85</f>
        <v>0</v>
      </c>
    </row>
    <row r="76" spans="1:46" x14ac:dyDescent="0.2">
      <c r="A76" s="3" t="s">
        <v>268</v>
      </c>
      <c r="B76" t="s">
        <v>340</v>
      </c>
      <c r="C76" s="3" t="s">
        <v>17</v>
      </c>
      <c r="D76" s="3" t="s">
        <v>270</v>
      </c>
      <c r="E76" s="3" t="s">
        <v>271</v>
      </c>
      <c r="F76" s="3">
        <v>0</v>
      </c>
      <c r="G76" s="3" t="s">
        <v>0</v>
      </c>
      <c r="H76" s="3" t="s">
        <v>0</v>
      </c>
      <c r="I76" s="3" t="s">
        <v>0</v>
      </c>
      <c r="J76" s="3" t="s">
        <v>0</v>
      </c>
      <c r="K76" s="3" t="s">
        <v>0</v>
      </c>
      <c r="L76" s="3" t="s">
        <v>0</v>
      </c>
      <c r="M76" s="4">
        <v>-1</v>
      </c>
      <c r="O76">
        <f>+sum_sheet!N86*'Equivalence Factor'!$L86</f>
        <v>0</v>
      </c>
      <c r="P76">
        <f>+sum_sheet!O86*'Equivalence Factor'!$L86</f>
        <v>0</v>
      </c>
      <c r="Q76">
        <f>+sum_sheet!P86*'Equivalence Factor'!$L86</f>
        <v>0</v>
      </c>
      <c r="R76">
        <f>+sum_sheet!Q86*'Equivalence Factor'!$L86</f>
        <v>0</v>
      </c>
      <c r="S76">
        <f>+sum_sheet!R86*'Equivalence Factor'!$L86</f>
        <v>0</v>
      </c>
      <c r="T76">
        <f>+sum_sheet!S86*'Equivalence Factor'!$L86</f>
        <v>0</v>
      </c>
      <c r="U76">
        <f>+sum_sheet!T86*'Equivalence Factor'!$L86</f>
        <v>0</v>
      </c>
      <c r="V76">
        <f>+sum_sheet!U86*'Equivalence Factor'!$L86</f>
        <v>0</v>
      </c>
      <c r="W76">
        <f>+sum_sheet!V86*'Equivalence Factor'!$L86</f>
        <v>0</v>
      </c>
      <c r="X76">
        <f>+sum_sheet!W86*'Equivalence Factor'!$L86</f>
        <v>0</v>
      </c>
      <c r="Y76">
        <f>+sum_sheet!X86*'Equivalence Factor'!$L86</f>
        <v>0</v>
      </c>
      <c r="Z76">
        <f>+sum_sheet!Y86*'Equivalence Factor'!$L86</f>
        <v>0</v>
      </c>
      <c r="AA76">
        <f>+sum_sheet!Z86*'Equivalence Factor'!$L86</f>
        <v>0</v>
      </c>
      <c r="AB76">
        <f>+sum_sheet!AA86*'Equivalence Factor'!$L86</f>
        <v>0</v>
      </c>
      <c r="AC76">
        <f>+sum_sheet!AB86*'Equivalence Factor'!$L86</f>
        <v>0</v>
      </c>
      <c r="AD76">
        <f>+sum_sheet!AC86*'Equivalence Factor'!$L86</f>
        <v>0</v>
      </c>
      <c r="AE76">
        <f>+sum_sheet!AD86*'Equivalence Factor'!$L86</f>
        <v>0</v>
      </c>
      <c r="AF76">
        <f>+sum_sheet!AE86*'Equivalence Factor'!$L86</f>
        <v>0</v>
      </c>
      <c r="AG76">
        <f>+sum_sheet!AF86*'Equivalence Factor'!$L86</f>
        <v>0</v>
      </c>
      <c r="AH76">
        <f>+sum_sheet!AG86*'Equivalence Factor'!$L86</f>
        <v>0</v>
      </c>
      <c r="AI76">
        <f>+sum_sheet!AH86*'Equivalence Factor'!$L86</f>
        <v>0</v>
      </c>
      <c r="AJ76">
        <f>+sum_sheet!AI86*'Equivalence Factor'!$L86</f>
        <v>0</v>
      </c>
      <c r="AK76">
        <f>+sum_sheet!AJ86*'Equivalence Factor'!$L86</f>
        <v>0</v>
      </c>
      <c r="AL76">
        <f>+sum_sheet!AK86*'Equivalence Factor'!$L86</f>
        <v>0</v>
      </c>
      <c r="AM76">
        <f>+sum_sheet!AL86*'Equivalence Factor'!$L86</f>
        <v>0</v>
      </c>
      <c r="AN76">
        <f>+sum_sheet!AM86*'Equivalence Factor'!$L86</f>
        <v>0</v>
      </c>
      <c r="AO76">
        <f>+sum_sheet!AN86*'Equivalence Factor'!$L86</f>
        <v>0</v>
      </c>
      <c r="AP76">
        <f>+sum_sheet!AO86*'Equivalence Factor'!$L86</f>
        <v>0</v>
      </c>
      <c r="AQ76">
        <f>+sum_sheet!AP86*'Equivalence Factor'!$L86</f>
        <v>0</v>
      </c>
      <c r="AR76">
        <f>+sum_sheet!AQ86*'Equivalence Factor'!$L86</f>
        <v>0</v>
      </c>
      <c r="AS76">
        <f>+sum_sheet!AR86*'Equivalence Factor'!$L86</f>
        <v>0</v>
      </c>
      <c r="AT76">
        <f>+sum_sheet!AS86*'Equivalence Factor'!$L86</f>
        <v>0</v>
      </c>
    </row>
    <row r="77" spans="1:46" x14ac:dyDescent="0.2">
      <c r="A77" s="3" t="s">
        <v>268</v>
      </c>
      <c r="B77" t="s">
        <v>340</v>
      </c>
      <c r="C77" s="3" t="s">
        <v>3</v>
      </c>
      <c r="D77" s="3" t="s">
        <v>281</v>
      </c>
      <c r="E77" s="3" t="s">
        <v>280</v>
      </c>
      <c r="F77" s="3">
        <v>0</v>
      </c>
      <c r="G77" s="3" t="s">
        <v>0</v>
      </c>
      <c r="H77" s="3" t="s">
        <v>0</v>
      </c>
      <c r="I77" s="3" t="s">
        <v>0</v>
      </c>
      <c r="J77" s="3" t="s">
        <v>0</v>
      </c>
      <c r="K77" s="3" t="s">
        <v>0</v>
      </c>
      <c r="L77" s="3" t="s">
        <v>0</v>
      </c>
      <c r="M77" s="4">
        <v>-1</v>
      </c>
      <c r="O77">
        <f>+sum_sheet!N87*'Equivalence Factor'!$L87</f>
        <v>0</v>
      </c>
      <c r="P77">
        <f>+sum_sheet!O87*'Equivalence Factor'!$L87</f>
        <v>0</v>
      </c>
      <c r="Q77">
        <f>+sum_sheet!P87*'Equivalence Factor'!$L87</f>
        <v>0</v>
      </c>
      <c r="R77">
        <f>+sum_sheet!Q87*'Equivalence Factor'!$L87</f>
        <v>0</v>
      </c>
      <c r="S77">
        <f>+sum_sheet!R87*'Equivalence Factor'!$L87</f>
        <v>0</v>
      </c>
      <c r="T77">
        <f>+sum_sheet!S87*'Equivalence Factor'!$L87</f>
        <v>0</v>
      </c>
      <c r="U77">
        <f>+sum_sheet!T87*'Equivalence Factor'!$L87</f>
        <v>0</v>
      </c>
      <c r="V77">
        <f>+sum_sheet!U87*'Equivalence Factor'!$L87</f>
        <v>0</v>
      </c>
      <c r="W77">
        <f>+sum_sheet!V87*'Equivalence Factor'!$L87</f>
        <v>0</v>
      </c>
      <c r="X77">
        <f>+sum_sheet!W87*'Equivalence Factor'!$L87</f>
        <v>0</v>
      </c>
      <c r="Y77">
        <f>+sum_sheet!X87*'Equivalence Factor'!$L87</f>
        <v>0</v>
      </c>
      <c r="Z77">
        <f>+sum_sheet!Y87*'Equivalence Factor'!$L87</f>
        <v>0</v>
      </c>
      <c r="AA77">
        <f>+sum_sheet!Z87*'Equivalence Factor'!$L87</f>
        <v>0</v>
      </c>
      <c r="AB77">
        <f>+sum_sheet!AA87*'Equivalence Factor'!$L87</f>
        <v>0</v>
      </c>
      <c r="AC77">
        <f>+sum_sheet!AB87*'Equivalence Factor'!$L87</f>
        <v>0</v>
      </c>
      <c r="AD77">
        <f>+sum_sheet!AC87*'Equivalence Factor'!$L87</f>
        <v>0</v>
      </c>
      <c r="AE77">
        <f>+sum_sheet!AD87*'Equivalence Factor'!$L87</f>
        <v>0</v>
      </c>
      <c r="AF77">
        <f>+sum_sheet!AE87*'Equivalence Factor'!$L87</f>
        <v>0</v>
      </c>
      <c r="AG77">
        <f>+sum_sheet!AF87*'Equivalence Factor'!$L87</f>
        <v>0</v>
      </c>
      <c r="AH77">
        <f>+sum_sheet!AG87*'Equivalence Factor'!$L87</f>
        <v>0</v>
      </c>
      <c r="AI77">
        <f>+sum_sheet!AH87*'Equivalence Factor'!$L87</f>
        <v>0</v>
      </c>
      <c r="AJ77">
        <f>+sum_sheet!AI87*'Equivalence Factor'!$L87</f>
        <v>0</v>
      </c>
      <c r="AK77">
        <f>+sum_sheet!AJ87*'Equivalence Factor'!$L87</f>
        <v>0</v>
      </c>
      <c r="AL77">
        <f>+sum_sheet!AK87*'Equivalence Factor'!$L87</f>
        <v>0</v>
      </c>
      <c r="AM77">
        <f>+sum_sheet!AL87*'Equivalence Factor'!$L87</f>
        <v>0</v>
      </c>
      <c r="AN77">
        <f>+sum_sheet!AM87*'Equivalence Factor'!$L87</f>
        <v>0</v>
      </c>
      <c r="AO77">
        <f>+sum_sheet!AN87*'Equivalence Factor'!$L87</f>
        <v>0</v>
      </c>
      <c r="AP77">
        <f>+sum_sheet!AO87*'Equivalence Factor'!$L87</f>
        <v>0</v>
      </c>
      <c r="AQ77">
        <f>+sum_sheet!AP87*'Equivalence Factor'!$L87</f>
        <v>0</v>
      </c>
      <c r="AR77">
        <f>+sum_sheet!AQ87*'Equivalence Factor'!$L87</f>
        <v>0</v>
      </c>
      <c r="AS77">
        <f>+sum_sheet!AR87*'Equivalence Factor'!$L87</f>
        <v>0</v>
      </c>
      <c r="AT77">
        <f>+sum_sheet!AS87*'Equivalence Factor'!$L87</f>
        <v>0</v>
      </c>
    </row>
    <row r="78" spans="1:46" x14ac:dyDescent="0.2">
      <c r="A78" s="3" t="s">
        <v>268</v>
      </c>
      <c r="B78" t="s">
        <v>340</v>
      </c>
      <c r="C78" s="3" t="s">
        <v>17</v>
      </c>
      <c r="D78" s="3" t="s">
        <v>276</v>
      </c>
      <c r="E78" s="3" t="s">
        <v>277</v>
      </c>
      <c r="F78" s="3">
        <v>1</v>
      </c>
      <c r="G78" s="3" t="s">
        <v>18</v>
      </c>
      <c r="H78" s="3" t="s">
        <v>14</v>
      </c>
      <c r="I78" s="3" t="s">
        <v>269</v>
      </c>
      <c r="J78" s="10" t="s">
        <v>301</v>
      </c>
      <c r="K78" s="7" t="s">
        <v>33</v>
      </c>
      <c r="L78" s="9"/>
      <c r="M78" s="4">
        <v>32</v>
      </c>
      <c r="O78">
        <f>+sum_sheet!N88*'Equivalence Factor'!$L88</f>
        <v>0</v>
      </c>
      <c r="P78">
        <f>+sum_sheet!O88*'Equivalence Factor'!$L88</f>
        <v>0</v>
      </c>
      <c r="Q78">
        <f>+sum_sheet!P88*'Equivalence Factor'!$L88</f>
        <v>0</v>
      </c>
      <c r="R78">
        <f>+sum_sheet!Q88*'Equivalence Factor'!$L88</f>
        <v>2.8319259442073679E-4</v>
      </c>
      <c r="S78">
        <f>+sum_sheet!R88*'Equivalence Factor'!$L88</f>
        <v>0</v>
      </c>
      <c r="T78">
        <f>+sum_sheet!S88*'Equivalence Factor'!$L88</f>
        <v>0</v>
      </c>
      <c r="U78">
        <f>+sum_sheet!T88*'Equivalence Factor'!$L88</f>
        <v>0</v>
      </c>
      <c r="V78">
        <f>+sum_sheet!U88*'Equivalence Factor'!$L88</f>
        <v>0</v>
      </c>
      <c r="W78">
        <f>+sum_sheet!V88*'Equivalence Factor'!$L88</f>
        <v>0</v>
      </c>
      <c r="X78">
        <f>+sum_sheet!W88*'Equivalence Factor'!$L88</f>
        <v>0</v>
      </c>
      <c r="Y78">
        <f>+sum_sheet!X88*'Equivalence Factor'!$L88</f>
        <v>0</v>
      </c>
      <c r="Z78">
        <f>+sum_sheet!Y88*'Equivalence Factor'!$L88</f>
        <v>0</v>
      </c>
      <c r="AA78">
        <f>+sum_sheet!Z88*'Equivalence Factor'!$L88</f>
        <v>0</v>
      </c>
      <c r="AB78">
        <f>+sum_sheet!AA88*'Equivalence Factor'!$L88</f>
        <v>4.2322312651294393E-5</v>
      </c>
      <c r="AC78">
        <f>+sum_sheet!AB88*'Equivalence Factor'!$L88</f>
        <v>9.9467572865648705E-5</v>
      </c>
      <c r="AD78">
        <f>+sum_sheet!AC88*'Equivalence Factor'!$L88</f>
        <v>1.1429052042870864E-4</v>
      </c>
      <c r="AE78">
        <f>+sum_sheet!AD88*'Equivalence Factor'!$L88</f>
        <v>1.2911346799176853E-4</v>
      </c>
      <c r="AF78">
        <f>+sum_sheet!AE88*'Equivalence Factor'!$L88</f>
        <v>1.2681246618323862E-4</v>
      </c>
      <c r="AG78">
        <f>+sum_sheet!AF88*'Equivalence Factor'!$L88</f>
        <v>1.2451146437470869E-4</v>
      </c>
      <c r="AH78">
        <f>+sum_sheet!AG88*'Equivalence Factor'!$L88</f>
        <v>7.8088191093222695E-5</v>
      </c>
      <c r="AI78">
        <f>+sum_sheet!AH88*'Equivalence Factor'!$L88</f>
        <v>8.0255620313397297E-5</v>
      </c>
      <c r="AJ78">
        <f>+sum_sheet!AI88*'Equivalence Factor'!$L88</f>
        <v>8.0549725753302986E-5</v>
      </c>
      <c r="AK78">
        <f>+sum_sheet!AJ88*'Equivalence Factor'!$L88</f>
        <v>8.0652023297618012E-5</v>
      </c>
      <c r="AL78">
        <f>+sum_sheet!AK88*'Equivalence Factor'!$L88</f>
        <v>8.1540733213854806E-5</v>
      </c>
      <c r="AM78">
        <f>+sum_sheet!AL88*'Equivalence Factor'!$L88</f>
        <v>8.2605267034383049E-5</v>
      </c>
      <c r="AN78">
        <f>+sum_sheet!AM88*'Equivalence Factor'!$L88</f>
        <v>8.3791279188785369E-5</v>
      </c>
      <c r="AO78">
        <f>+sum_sheet!AN88*'Equivalence Factor'!$L88</f>
        <v>8.5709358144692101E-5</v>
      </c>
      <c r="AP78">
        <f>+sum_sheet!AO88*'Equivalence Factor'!$L88</f>
        <v>8.5885182048983536E-5</v>
      </c>
      <c r="AQ78">
        <f>+sum_sheet!AP88*'Equivalence Factor'!$L88</f>
        <v>9.3461593924815096E-5</v>
      </c>
      <c r="AR78">
        <f>+sum_sheet!AQ88*'Equivalence Factor'!$L88</f>
        <v>9.3461593924815096E-5</v>
      </c>
      <c r="AS78">
        <f>+sum_sheet!AR88*'Equivalence Factor'!$L88</f>
        <v>9.3461593924815096E-5</v>
      </c>
      <c r="AT78">
        <f>+sum_sheet!AS88*'Equivalence Factor'!$L88</f>
        <v>9.3461593924815096E-5</v>
      </c>
    </row>
    <row r="79" spans="1:46" x14ac:dyDescent="0.2">
      <c r="A79" s="3" t="s">
        <v>268</v>
      </c>
      <c r="B79" t="s">
        <v>340</v>
      </c>
      <c r="C79" s="3" t="s">
        <v>17</v>
      </c>
      <c r="D79" s="3" t="s">
        <v>266</v>
      </c>
      <c r="E79" s="3" t="s">
        <v>267</v>
      </c>
      <c r="F79" s="3">
        <v>1</v>
      </c>
      <c r="G79" s="3" t="s">
        <v>15</v>
      </c>
      <c r="H79" s="3" t="s">
        <v>14</v>
      </c>
      <c r="I79" s="3" t="s">
        <v>269</v>
      </c>
      <c r="J79" s="11" t="s">
        <v>302</v>
      </c>
      <c r="K79" s="10" t="s">
        <v>303</v>
      </c>
      <c r="L79" s="9"/>
      <c r="M79" s="4">
        <v>23</v>
      </c>
      <c r="O79">
        <f>+sum_sheet!N89*'Equivalence Factor'!$L89</f>
        <v>3.1990543031883605</v>
      </c>
      <c r="P79">
        <f>+sum_sheet!O89*'Equivalence Factor'!$L89</f>
        <v>3.2863883145275006</v>
      </c>
      <c r="Q79">
        <f>+sum_sheet!P89*'Equivalence Factor'!$L89</f>
        <v>3.3549433219169864</v>
      </c>
      <c r="R79">
        <f>+sum_sheet!Q89*'Equivalence Factor'!$L89</f>
        <v>3.4199077752515707</v>
      </c>
      <c r="S79">
        <f>+sum_sheet!R89*'Equivalence Factor'!$L89</f>
        <v>3.1163936735521287</v>
      </c>
      <c r="T79">
        <f>+sum_sheet!S89*'Equivalence Factor'!$L89</f>
        <v>2.9803142019582487</v>
      </c>
      <c r="U79">
        <f>+sum_sheet!T89*'Equivalence Factor'!$L89</f>
        <v>3.1306970220735777</v>
      </c>
      <c r="V79">
        <f>+sum_sheet!U89*'Equivalence Factor'!$L89</f>
        <v>3.1974520445874548</v>
      </c>
      <c r="W79">
        <f>+sum_sheet!V89*'Equivalence Factor'!$L89</f>
        <v>3.260400924591329</v>
      </c>
      <c r="X79">
        <f>+sum_sheet!W89*'Equivalence Factor'!$L89</f>
        <v>3.1691067610907848</v>
      </c>
      <c r="Y79">
        <f>+sum_sheet!X89*'Equivalence Factor'!$L89</f>
        <v>3.2670909288199468</v>
      </c>
      <c r="Z79">
        <f>+sum_sheet!Y89*'Equivalence Factor'!$L89</f>
        <v>3.5946738792315767</v>
      </c>
      <c r="AA79">
        <f>+sum_sheet!Z89*'Equivalence Factor'!$L89</f>
        <v>3.5572513865271111</v>
      </c>
      <c r="AB79">
        <f>+sum_sheet!AA89*'Equivalence Factor'!$L89</f>
        <v>3.2228563270180191</v>
      </c>
      <c r="AC79">
        <f>+sum_sheet!AB89*'Equivalence Factor'!$L89</f>
        <v>3.2080110110675606</v>
      </c>
      <c r="AD79">
        <f>+sum_sheet!AC89*'Equivalence Factor'!$L89</f>
        <v>3.1325806595430716</v>
      </c>
      <c r="AE79">
        <f>+sum_sheet!AD89*'Equivalence Factor'!$L89</f>
        <v>3.2120004639660698</v>
      </c>
      <c r="AF79">
        <f>+sum_sheet!AE89*'Equivalence Factor'!$L89</f>
        <v>3.404374657620354</v>
      </c>
      <c r="AG79">
        <f>+sum_sheet!AF89*'Equivalence Factor'!$L89</f>
        <v>3.6395058474588251</v>
      </c>
      <c r="AH79">
        <f>+sum_sheet!AG89*'Equivalence Factor'!$L89</f>
        <v>3.8074620322862573</v>
      </c>
      <c r="AI79">
        <f>+sum_sheet!AH89*'Equivalence Factor'!$L89</f>
        <v>3.4352358449361349</v>
      </c>
      <c r="AJ79">
        <f>+sum_sheet!AI89*'Equivalence Factor'!$L89</f>
        <v>3.3590549789174133</v>
      </c>
      <c r="AK79">
        <f>+sum_sheet!AJ89*'Equivalence Factor'!$L89</f>
        <v>3.3537427850202026</v>
      </c>
      <c r="AL79">
        <f>+sum_sheet!AK89*'Equivalence Factor'!$L89</f>
        <v>3.5900296777455276</v>
      </c>
      <c r="AM79">
        <f>+sum_sheet!AL89*'Equivalence Factor'!$L89</f>
        <v>3.5142011132715156</v>
      </c>
      <c r="AN79">
        <f>+sum_sheet!AM89*'Equivalence Factor'!$L89</f>
        <v>3.5260238584420169</v>
      </c>
      <c r="AO79">
        <f>+sum_sheet!AN89*'Equivalence Factor'!$L89</f>
        <v>3.6461771063722423</v>
      </c>
      <c r="AP79">
        <f>+sum_sheet!AO89*'Equivalence Factor'!$L89</f>
        <v>3.468943428819478</v>
      </c>
      <c r="AQ79">
        <f>+sum_sheet!AP89*'Equivalence Factor'!$L89</f>
        <v>3.2802083895475924</v>
      </c>
      <c r="AR79">
        <f>+sum_sheet!AQ89*'Equivalence Factor'!$L89</f>
        <v>3.1719192577058379</v>
      </c>
      <c r="AS79">
        <f>+sum_sheet!AR89*'Equivalence Factor'!$L89</f>
        <v>3.2067502364805058</v>
      </c>
      <c r="AT79">
        <f>+sum_sheet!AS89*'Equivalence Factor'!$L89</f>
        <v>2.9988098260041935</v>
      </c>
    </row>
    <row r="80" spans="1:46" x14ac:dyDescent="0.2">
      <c r="A80" s="3" t="s">
        <v>268</v>
      </c>
      <c r="B80" t="s">
        <v>340</v>
      </c>
      <c r="C80" s="3" t="s">
        <v>9</v>
      </c>
      <c r="D80" s="3" t="s">
        <v>279</v>
      </c>
      <c r="E80" s="3" t="s">
        <v>278</v>
      </c>
      <c r="F80" s="3">
        <v>1</v>
      </c>
      <c r="G80" s="3" t="s">
        <v>18</v>
      </c>
      <c r="H80" s="3" t="s">
        <v>14</v>
      </c>
      <c r="I80" s="3" t="s">
        <v>269</v>
      </c>
      <c r="J80" s="10" t="s">
        <v>301</v>
      </c>
      <c r="K80" s="11" t="s">
        <v>304</v>
      </c>
      <c r="L80" s="9"/>
      <c r="M80" s="4">
        <v>27</v>
      </c>
      <c r="O80">
        <f>+sum_sheet!N90*'Equivalence Factor'!$L90</f>
        <v>0</v>
      </c>
      <c r="P80">
        <f>+sum_sheet!O90*'Equivalence Factor'!$L90</f>
        <v>0</v>
      </c>
      <c r="Q80">
        <f>+sum_sheet!P90*'Equivalence Factor'!$L90</f>
        <v>0</v>
      </c>
      <c r="R80">
        <f>+sum_sheet!Q90*'Equivalence Factor'!$L90</f>
        <v>0.24321267681067466</v>
      </c>
      <c r="S80">
        <f>+sum_sheet!R90*'Equivalence Factor'!$L90</f>
        <v>0</v>
      </c>
      <c r="T80">
        <f>+sum_sheet!S90*'Equivalence Factor'!$L90</f>
        <v>0</v>
      </c>
      <c r="U80">
        <f>+sum_sheet!T90*'Equivalence Factor'!$L90</f>
        <v>0</v>
      </c>
      <c r="V80">
        <f>+sum_sheet!U90*'Equivalence Factor'!$L90</f>
        <v>0</v>
      </c>
      <c r="W80">
        <f>+sum_sheet!V90*'Equivalence Factor'!$L90</f>
        <v>0</v>
      </c>
      <c r="X80">
        <f>+sum_sheet!W90*'Equivalence Factor'!$L90</f>
        <v>0</v>
      </c>
      <c r="Y80">
        <f>+sum_sheet!X90*'Equivalence Factor'!$L90</f>
        <v>0</v>
      </c>
      <c r="Z80">
        <f>+sum_sheet!Y90*'Equivalence Factor'!$L90</f>
        <v>0</v>
      </c>
      <c r="AA80">
        <f>+sum_sheet!Z90*'Equivalence Factor'!$L90</f>
        <v>0</v>
      </c>
      <c r="AB80">
        <f>+sum_sheet!AA90*'Equivalence Factor'!$L90</f>
        <v>4.7263652708781488E-2</v>
      </c>
      <c r="AC80">
        <f>+sum_sheet!AB90*'Equivalence Factor'!$L90</f>
        <v>0.11477954290338954</v>
      </c>
      <c r="AD80">
        <f>+sum_sheet!AC90*'Equivalence Factor'!$L90</f>
        <v>0.13963523754664806</v>
      </c>
      <c r="AE80">
        <f>+sum_sheet!AD90*'Equivalence Factor'!$L90</f>
        <v>0.15736636152827252</v>
      </c>
      <c r="AF80">
        <f>+sum_sheet!AE90*'Equivalence Factor'!$L90</f>
        <v>0.15500746448460681</v>
      </c>
      <c r="AG80">
        <f>+sum_sheet!AF90*'Equivalence Factor'!$L90</f>
        <v>0.16300877289207866</v>
      </c>
      <c r="AH80">
        <f>+sum_sheet!AG90*'Equivalence Factor'!$L90</f>
        <v>0.10089655738807753</v>
      </c>
      <c r="AI80">
        <f>+sum_sheet!AH90*'Equivalence Factor'!$L90</f>
        <v>0.11026208229774286</v>
      </c>
      <c r="AJ80">
        <f>+sum_sheet!AI90*'Equivalence Factor'!$L90</f>
        <v>0.1128142208543008</v>
      </c>
      <c r="AK80">
        <f>+sum_sheet!AJ90*'Equivalence Factor'!$L90</f>
        <v>0.11420142831955366</v>
      </c>
      <c r="AL80">
        <f>+sum_sheet!AK90*'Equivalence Factor'!$L90</f>
        <v>0.11762436661718337</v>
      </c>
      <c r="AM80">
        <f>+sum_sheet!AL90*'Equivalence Factor'!$L90</f>
        <v>0.12108872376780461</v>
      </c>
      <c r="AN80">
        <f>+sum_sheet!AM90*'Equivalence Factor'!$L90</f>
        <v>0.12448596953958223</v>
      </c>
      <c r="AO80">
        <f>+sum_sheet!AN90*'Equivalence Factor'!$L90</f>
        <v>0.1287901886335111</v>
      </c>
      <c r="AP80">
        <f>+sum_sheet!AO90*'Equivalence Factor'!$L90</f>
        <v>0.129982821568493</v>
      </c>
      <c r="AQ80">
        <f>+sum_sheet!AP90*'Equivalence Factor'!$L90</f>
        <v>0.13728697595211647</v>
      </c>
      <c r="AR80">
        <f>+sum_sheet!AQ90*'Equivalence Factor'!$L90</f>
        <v>0.13728697595211647</v>
      </c>
      <c r="AS80">
        <f>+sum_sheet!AR90*'Equivalence Factor'!$L90</f>
        <v>0.13728697595211647</v>
      </c>
      <c r="AT80">
        <f>+sum_sheet!AS90*'Equivalence Factor'!$L90</f>
        <v>0.13728697595211647</v>
      </c>
    </row>
    <row r="81" spans="1:46" x14ac:dyDescent="0.2">
      <c r="A81" s="3" t="s">
        <v>268</v>
      </c>
      <c r="B81" t="s">
        <v>340</v>
      </c>
      <c r="C81" s="3" t="s">
        <v>3</v>
      </c>
      <c r="D81" s="3" t="s">
        <v>282</v>
      </c>
      <c r="E81" s="3" t="s">
        <v>283</v>
      </c>
      <c r="F81" s="3">
        <v>1</v>
      </c>
      <c r="G81" s="3" t="s">
        <v>18</v>
      </c>
      <c r="H81" s="3" t="s">
        <v>14</v>
      </c>
      <c r="I81" s="3" t="s">
        <v>269</v>
      </c>
      <c r="J81" s="10" t="s">
        <v>301</v>
      </c>
      <c r="K81" s="11" t="s">
        <v>305</v>
      </c>
      <c r="L81" s="9"/>
      <c r="M81" s="4">
        <v>31</v>
      </c>
      <c r="O81">
        <f>+sum_sheet!N91*'Equivalence Factor'!$L91</f>
        <v>0</v>
      </c>
      <c r="P81">
        <f>+sum_sheet!O91*'Equivalence Factor'!$L91</f>
        <v>0</v>
      </c>
      <c r="Q81">
        <f>+sum_sheet!P91*'Equivalence Factor'!$L91</f>
        <v>0</v>
      </c>
      <c r="R81">
        <f>+sum_sheet!Q91*'Equivalence Factor'!$L91</f>
        <v>6.7005390644192175E-3</v>
      </c>
      <c r="S81">
        <f>+sum_sheet!R91*'Equivalence Factor'!$L91</f>
        <v>0</v>
      </c>
      <c r="T81">
        <f>+sum_sheet!S91*'Equivalence Factor'!$L91</f>
        <v>0</v>
      </c>
      <c r="U81">
        <f>+sum_sheet!T91*'Equivalence Factor'!$L91</f>
        <v>0</v>
      </c>
      <c r="V81">
        <f>+sum_sheet!U91*'Equivalence Factor'!$L91</f>
        <v>0</v>
      </c>
      <c r="W81">
        <f>+sum_sheet!V91*'Equivalence Factor'!$L91</f>
        <v>0</v>
      </c>
      <c r="X81">
        <f>+sum_sheet!W91*'Equivalence Factor'!$L91</f>
        <v>0</v>
      </c>
      <c r="Y81">
        <f>+sum_sheet!X91*'Equivalence Factor'!$L91</f>
        <v>0</v>
      </c>
      <c r="Z81">
        <f>+sum_sheet!Y91*'Equivalence Factor'!$L91</f>
        <v>0</v>
      </c>
      <c r="AA81">
        <f>+sum_sheet!Z91*'Equivalence Factor'!$L91</f>
        <v>0</v>
      </c>
      <c r="AB81">
        <f>+sum_sheet!AA91*'Equivalence Factor'!$L91</f>
        <v>1.0013761475529477E-3</v>
      </c>
      <c r="AC81">
        <f>+sum_sheet!AB91*'Equivalence Factor'!$L91</f>
        <v>2.3534738222675809E-3</v>
      </c>
      <c r="AD81">
        <f>+sum_sheet!AC91*'Equivalence Factor'!$L91</f>
        <v>2.7041953494292663E-3</v>
      </c>
      <c r="AE81">
        <f>+sum_sheet!AD91*'Equivalence Factor'!$L91</f>
        <v>3.0549168765909526E-3</v>
      </c>
      <c r="AF81">
        <f>+sum_sheet!AE91*'Equivalence Factor'!$L91</f>
        <v>3.0004735302284137E-3</v>
      </c>
      <c r="AG81">
        <f>+sum_sheet!AF91*'Equivalence Factor'!$L91</f>
        <v>2.9460301838658753E-3</v>
      </c>
      <c r="AH81">
        <f>+sum_sheet!AG91*'Equivalence Factor'!$L91</f>
        <v>1.8476223785450015E-3</v>
      </c>
      <c r="AI81">
        <f>+sum_sheet!AH91*'Equivalence Factor'!$L91</f>
        <v>1.8989053020580613E-3</v>
      </c>
      <c r="AJ81">
        <f>+sum_sheet!AI91*'Equivalence Factor'!$L91</f>
        <v>1.9058640468415441E-3</v>
      </c>
      <c r="AK81">
        <f>+sum_sheet!AJ91*'Equivalence Factor'!$L91</f>
        <v>1.9082844798097123E-3</v>
      </c>
      <c r="AL81">
        <f>+sum_sheet!AK91*'Equivalence Factor'!$L91</f>
        <v>1.9293119912206719E-3</v>
      </c>
      <c r="AM81">
        <f>+sum_sheet!AL91*'Equivalence Factor'!$L91</f>
        <v>1.9544996217956702E-3</v>
      </c>
      <c r="AN81">
        <f>+sum_sheet!AM91*'Equivalence Factor'!$L91</f>
        <v>1.9825615165203676E-3</v>
      </c>
      <c r="AO81">
        <f>+sum_sheet!AN91*'Equivalence Factor'!$L91</f>
        <v>2.027944634673518E-3</v>
      </c>
      <c r="AP81">
        <f>+sum_sheet!AO91*'Equivalence Factor'!$L91</f>
        <v>2.0321047538375569E-3</v>
      </c>
      <c r="AQ81">
        <f>+sum_sheet!AP91*'Equivalence Factor'!$L91</f>
        <v>2.2113680705424998E-3</v>
      </c>
      <c r="AR81">
        <f>+sum_sheet!AQ91*'Equivalence Factor'!$L91</f>
        <v>2.2113680705424998E-3</v>
      </c>
      <c r="AS81">
        <f>+sum_sheet!AR91*'Equivalence Factor'!$L91</f>
        <v>2.2113680705424998E-3</v>
      </c>
      <c r="AT81">
        <f>+sum_sheet!AS91*'Equivalence Factor'!$L91</f>
        <v>2.2113680705424998E-3</v>
      </c>
    </row>
    <row r="82" spans="1:46" x14ac:dyDescent="0.2">
      <c r="A82" s="3" t="s">
        <v>217</v>
      </c>
      <c r="B82" t="s">
        <v>337</v>
      </c>
      <c r="C82" s="3" t="s">
        <v>9</v>
      </c>
      <c r="D82" s="3" t="s">
        <v>228</v>
      </c>
      <c r="E82" s="3" t="s">
        <v>229</v>
      </c>
      <c r="F82" s="3">
        <v>1</v>
      </c>
      <c r="G82" s="3" t="s">
        <v>15</v>
      </c>
      <c r="H82" s="3" t="s">
        <v>14</v>
      </c>
      <c r="I82" s="3" t="s">
        <v>25</v>
      </c>
      <c r="J82" s="6" t="s">
        <v>293</v>
      </c>
      <c r="K82" s="3" t="s">
        <v>224</v>
      </c>
      <c r="L82" s="3" t="s">
        <v>115</v>
      </c>
      <c r="M82" s="4" t="s">
        <v>231</v>
      </c>
      <c r="O82">
        <f>+sum_sheet!N92*'Equivalence Factor'!$L92</f>
        <v>1.9039475712364111</v>
      </c>
      <c r="P82">
        <f>+sum_sheet!O92*'Equivalence Factor'!$L92</f>
        <v>1.9339101297927757</v>
      </c>
      <c r="Q82">
        <f>+sum_sheet!P92*'Equivalence Factor'!$L92</f>
        <v>1.9543266389317606</v>
      </c>
      <c r="R82">
        <f>+sum_sheet!Q92*'Equivalence Factor'!$L92</f>
        <v>1.778093153844148</v>
      </c>
      <c r="S82">
        <f>+sum_sheet!R92*'Equivalence Factor'!$L92</f>
        <v>1.7337549634192773</v>
      </c>
      <c r="T82">
        <f>+sum_sheet!S92*'Equivalence Factor'!$L92</f>
        <v>1.495170340112117</v>
      </c>
      <c r="U82">
        <f>+sum_sheet!T92*'Equivalence Factor'!$L92</f>
        <v>1.5659016078356969</v>
      </c>
      <c r="V82">
        <f>+sum_sheet!U92*'Equivalence Factor'!$L92</f>
        <v>1.761669667818498</v>
      </c>
      <c r="W82">
        <f>+sum_sheet!V92*'Equivalence Factor'!$L92</f>
        <v>1.6211535405282242</v>
      </c>
      <c r="X82">
        <f>+sum_sheet!W92*'Equivalence Factor'!$L92</f>
        <v>1.7649001274388505</v>
      </c>
      <c r="Y82">
        <f>+sum_sheet!X92*'Equivalence Factor'!$L92</f>
        <v>2.5834350305710423</v>
      </c>
      <c r="Z82">
        <f>+sum_sheet!Y92*'Equivalence Factor'!$L92</f>
        <v>1.9812170391196444</v>
      </c>
      <c r="AA82">
        <f>+sum_sheet!Z92*'Equivalence Factor'!$L92</f>
        <v>1.9421854900765467</v>
      </c>
      <c r="AB82">
        <f>+sum_sheet!AA92*'Equivalence Factor'!$L92</f>
        <v>2.4257986707879473</v>
      </c>
      <c r="AC82">
        <f>+sum_sheet!AB92*'Equivalence Factor'!$L92</f>
        <v>2.1543394178459874</v>
      </c>
      <c r="AD82">
        <f>+sum_sheet!AC92*'Equivalence Factor'!$L92</f>
        <v>2.0513829539828619</v>
      </c>
      <c r="AE82">
        <f>+sum_sheet!AD92*'Equivalence Factor'!$L92</f>
        <v>1.4627438790651197</v>
      </c>
      <c r="AF82">
        <f>+sum_sheet!AE92*'Equivalence Factor'!$L92</f>
        <v>2.6598654299668958</v>
      </c>
      <c r="AG82">
        <f>+sum_sheet!AF92*'Equivalence Factor'!$L92</f>
        <v>1.5860187736570102</v>
      </c>
      <c r="AH82">
        <f>+sum_sheet!AG92*'Equivalence Factor'!$L92</f>
        <v>2.0025811101668189</v>
      </c>
      <c r="AI82">
        <f>+sum_sheet!AH92*'Equivalence Factor'!$L92</f>
        <v>1.9542558989075032</v>
      </c>
      <c r="AJ82">
        <f>+sum_sheet!AI92*'Equivalence Factor'!$L92</f>
        <v>1.9004387446644084</v>
      </c>
      <c r="AK82">
        <f>+sum_sheet!AJ92*'Equivalence Factor'!$L92</f>
        <v>1.8615666752932585</v>
      </c>
      <c r="AL82">
        <f>+sum_sheet!AK92*'Equivalence Factor'!$L92</f>
        <v>1.8084468458974272</v>
      </c>
      <c r="AM82">
        <f>+sum_sheet!AL92*'Equivalence Factor'!$L92</f>
        <v>1.9950089175362613</v>
      </c>
      <c r="AN82">
        <f>+sum_sheet!AM92*'Equivalence Factor'!$L92</f>
        <v>2.1819683297098829</v>
      </c>
      <c r="AO82">
        <f>+sum_sheet!AN92*'Equivalence Factor'!$L92</f>
        <v>2.1662929907457982</v>
      </c>
      <c r="AP82">
        <f>+sum_sheet!AO92*'Equivalence Factor'!$L92</f>
        <v>2.1470801346655968</v>
      </c>
      <c r="AQ82">
        <f>+sum_sheet!AP92*'Equivalence Factor'!$L92</f>
        <v>2.4773028122706311</v>
      </c>
      <c r="AR82">
        <f>+sum_sheet!AQ92*'Equivalence Factor'!$L92</f>
        <v>2.3793382365394757</v>
      </c>
      <c r="AS82">
        <f>+sum_sheet!AR92*'Equivalence Factor'!$L92</f>
        <v>2.2646747406569219</v>
      </c>
      <c r="AT82">
        <f>+sum_sheet!AS92*'Equivalence Factor'!$L92</f>
        <v>2.3804897143037391</v>
      </c>
    </row>
    <row r="83" spans="1:46" x14ac:dyDescent="0.2">
      <c r="A83" s="3" t="s">
        <v>217</v>
      </c>
      <c r="B83" t="s">
        <v>337</v>
      </c>
      <c r="C83" s="3" t="s">
        <v>9</v>
      </c>
      <c r="D83" s="3" t="s">
        <v>227</v>
      </c>
      <c r="E83" s="3" t="s">
        <v>229</v>
      </c>
      <c r="F83" s="3">
        <v>1</v>
      </c>
      <c r="G83" s="3" t="s">
        <v>15</v>
      </c>
      <c r="H83" s="3" t="s">
        <v>14</v>
      </c>
      <c r="I83" s="3" t="s">
        <v>25</v>
      </c>
      <c r="J83" s="6" t="s">
        <v>293</v>
      </c>
      <c r="K83" s="3" t="s">
        <v>218</v>
      </c>
      <c r="L83" s="3" t="s">
        <v>115</v>
      </c>
      <c r="M83" s="4" t="s">
        <v>230</v>
      </c>
      <c r="O83">
        <f>+sum_sheet!N93*'Equivalence Factor'!$L93</f>
        <v>3.1137562214882548</v>
      </c>
      <c r="P83">
        <f>+sum_sheet!O93*'Equivalence Factor'!$L93</f>
        <v>3.2077655222875658</v>
      </c>
      <c r="Q83">
        <f>+sum_sheet!P93*'Equivalence Factor'!$L93</f>
        <v>3.2762210399054306</v>
      </c>
      <c r="R83">
        <f>+sum_sheet!Q93*'Equivalence Factor'!$L93</f>
        <v>3.259385432541313</v>
      </c>
      <c r="S83">
        <f>+sum_sheet!R93*'Equivalence Factor'!$L93</f>
        <v>3.0646429768751369</v>
      </c>
      <c r="T83">
        <f>+sum_sheet!S93*'Equivalence Factor'!$L93</f>
        <v>3.0169100231876453</v>
      </c>
      <c r="U83">
        <f>+sum_sheet!T93*'Equivalence Factor'!$L93</f>
        <v>3.3059030570724666</v>
      </c>
      <c r="V83">
        <f>+sum_sheet!U93*'Equivalence Factor'!$L93</f>
        <v>3.3893929491686277</v>
      </c>
      <c r="W83">
        <f>+sum_sheet!V93*'Equivalence Factor'!$L93</f>
        <v>3.003641102925251</v>
      </c>
      <c r="X83">
        <f>+sum_sheet!W93*'Equivalence Factor'!$L93</f>
        <v>2.9082965288030596</v>
      </c>
      <c r="Y83">
        <f>+sum_sheet!X93*'Equivalence Factor'!$L93</f>
        <v>3.2781540969697192</v>
      </c>
      <c r="Z83">
        <f>+sum_sheet!Y93*'Equivalence Factor'!$L93</f>
        <v>3.1010878692516104</v>
      </c>
      <c r="AA83">
        <f>+sum_sheet!Z93*'Equivalence Factor'!$L93</f>
        <v>2.9286143197434469</v>
      </c>
      <c r="AB83">
        <f>+sum_sheet!AA93*'Equivalence Factor'!$L93</f>
        <v>2.7775812236382196</v>
      </c>
      <c r="AC83">
        <f>+sum_sheet!AB93*'Equivalence Factor'!$L93</f>
        <v>2.5131235214566372</v>
      </c>
      <c r="AD83">
        <f>+sum_sheet!AC93*'Equivalence Factor'!$L93</f>
        <v>2.4839059461350557</v>
      </c>
      <c r="AE83">
        <f>+sum_sheet!AD93*'Equivalence Factor'!$L93</f>
        <v>2.0515290251375542</v>
      </c>
      <c r="AF83">
        <f>+sum_sheet!AE93*'Equivalence Factor'!$L93</f>
        <v>2.1716599179829856</v>
      </c>
      <c r="AG83">
        <f>+sum_sheet!AF93*'Equivalence Factor'!$L93</f>
        <v>2.2229091790710376</v>
      </c>
      <c r="AH83">
        <f>+sum_sheet!AG93*'Equivalence Factor'!$L93</f>
        <v>2.2022768262518775</v>
      </c>
      <c r="AI83">
        <f>+sum_sheet!AH93*'Equivalence Factor'!$L93</f>
        <v>2.6529631486513696</v>
      </c>
      <c r="AJ83">
        <f>+sum_sheet!AI93*'Equivalence Factor'!$L93</f>
        <v>2.2998052027447895</v>
      </c>
      <c r="AK83">
        <f>+sum_sheet!AJ93*'Equivalence Factor'!$L93</f>
        <v>1.8217445766807252</v>
      </c>
      <c r="AL83">
        <f>+sum_sheet!AK93*'Equivalence Factor'!$L93</f>
        <v>2.2073297760367976</v>
      </c>
      <c r="AM83">
        <f>+sum_sheet!AL93*'Equivalence Factor'!$L93</f>
        <v>2.5525913536161977</v>
      </c>
      <c r="AN83">
        <f>+sum_sheet!AM93*'Equivalence Factor'!$L93</f>
        <v>2.1119967145907261</v>
      </c>
      <c r="AO83">
        <f>+sum_sheet!AN93*'Equivalence Factor'!$L93</f>
        <v>1.8061561052000934</v>
      </c>
      <c r="AP83">
        <f>+sum_sheet!AO93*'Equivalence Factor'!$L93</f>
        <v>1.6810834715664664</v>
      </c>
      <c r="AQ83">
        <f>+sum_sheet!AP93*'Equivalence Factor'!$L93</f>
        <v>2.1556487337252608</v>
      </c>
      <c r="AR83">
        <f>+sum_sheet!AQ93*'Equivalence Factor'!$L93</f>
        <v>2.0634600304046096</v>
      </c>
      <c r="AS83">
        <f>+sum_sheet!AR93*'Equivalence Factor'!$L93</f>
        <v>1.8593452918925337</v>
      </c>
      <c r="AT83">
        <f>+sum_sheet!AS93*'Equivalence Factor'!$L93</f>
        <v>2.0899125121786977</v>
      </c>
    </row>
    <row r="84" spans="1:46" x14ac:dyDescent="0.2">
      <c r="A84" s="3" t="s">
        <v>217</v>
      </c>
      <c r="B84" t="s">
        <v>337</v>
      </c>
      <c r="C84" s="3" t="s">
        <v>17</v>
      </c>
      <c r="D84" s="3" t="s">
        <v>223</v>
      </c>
      <c r="E84" s="3" t="s">
        <v>222</v>
      </c>
      <c r="F84" s="3">
        <v>1</v>
      </c>
      <c r="G84" s="3" t="s">
        <v>15</v>
      </c>
      <c r="H84" s="3" t="s">
        <v>14</v>
      </c>
      <c r="I84" s="3" t="s">
        <v>34</v>
      </c>
      <c r="J84" s="6" t="s">
        <v>293</v>
      </c>
      <c r="K84" s="3" t="s">
        <v>225</v>
      </c>
      <c r="L84" s="7" t="s">
        <v>33</v>
      </c>
      <c r="M84" s="4">
        <v>9</v>
      </c>
      <c r="O84">
        <f>+sum_sheet!N94*'Equivalence Factor'!$L94</f>
        <v>1.0233937280000001E-2</v>
      </c>
      <c r="P84">
        <f>+sum_sheet!O94*'Equivalence Factor'!$L94</f>
        <v>1.0512424720000002E-2</v>
      </c>
      <c r="Q84">
        <f>+sum_sheet!P94*'Equivalence Factor'!$L94</f>
        <v>1.066117808E-2</v>
      </c>
      <c r="R84">
        <f>+sum_sheet!Q94*'Equivalence Factor'!$L94</f>
        <v>1.3780649399999999E-2</v>
      </c>
      <c r="S84">
        <f>+sum_sheet!R94*'Equivalence Factor'!$L94</f>
        <v>1.330305228E-2</v>
      </c>
      <c r="T84">
        <f>+sum_sheet!S94*'Equivalence Factor'!$L94</f>
        <v>1.2497346679999998E-2</v>
      </c>
      <c r="U84">
        <f>+sum_sheet!T94*'Equivalence Factor'!$L94</f>
        <v>1.2956178759999999E-2</v>
      </c>
      <c r="V84">
        <f>+sum_sheet!U94*'Equivalence Factor'!$L94</f>
        <v>9.932758639999999E-3</v>
      </c>
      <c r="W84">
        <f>+sum_sheet!V94*'Equivalence Factor'!$L94</f>
        <v>8.9895259999999994E-3</v>
      </c>
      <c r="X84">
        <f>+sum_sheet!W94*'Equivalence Factor'!$L94</f>
        <v>9.8136051999999988E-3</v>
      </c>
      <c r="Y84">
        <f>+sum_sheet!X94*'Equivalence Factor'!$L94</f>
        <v>1.3254292799999998E-2</v>
      </c>
      <c r="Z84">
        <f>+sum_sheet!Y94*'Equivalence Factor'!$L94</f>
        <v>1.0861437439999998E-2</v>
      </c>
      <c r="AA84">
        <f>+sum_sheet!Z94*'Equivalence Factor'!$L94</f>
        <v>1.06823332E-2</v>
      </c>
      <c r="AB84">
        <f>+sum_sheet!AA94*'Equivalence Factor'!$L94</f>
        <v>1.2784845639999999E-2</v>
      </c>
      <c r="AC84">
        <f>+sum_sheet!AB94*'Equivalence Factor'!$L94</f>
        <v>1.1656687559999998E-2</v>
      </c>
      <c r="AD84">
        <f>+sum_sheet!AC94*'Equivalence Factor'!$L94</f>
        <v>8.0061203599999988E-3</v>
      </c>
      <c r="AE84">
        <f>+sum_sheet!AD94*'Equivalence Factor'!$L94</f>
        <v>5.7770028399999999E-3</v>
      </c>
      <c r="AF84">
        <f>+sum_sheet!AE94*'Equivalence Factor'!$L94</f>
        <v>1.0432667839999998E-2</v>
      </c>
      <c r="AG84">
        <f>+sum_sheet!AF94*'Equivalence Factor'!$L94</f>
        <v>6.4197929600000002E-3</v>
      </c>
      <c r="AH84">
        <f>+sum_sheet!AG94*'Equivalence Factor'!$L94</f>
        <v>8.6294146399999994E-3</v>
      </c>
      <c r="AI84">
        <f>+sum_sheet!AH94*'Equivalence Factor'!$L94</f>
        <v>8.1831534399999985E-3</v>
      </c>
      <c r="AJ84">
        <f>+sum_sheet!AI94*'Equivalence Factor'!$L94</f>
        <v>7.9618349999999987E-3</v>
      </c>
      <c r="AK84">
        <f>+sum_sheet!AJ94*'Equivalence Factor'!$L94</f>
        <v>7.4827289600000006E-3</v>
      </c>
      <c r="AL84">
        <f>+sum_sheet!AK94*'Equivalence Factor'!$L94</f>
        <v>7.4544441999999994E-3</v>
      </c>
      <c r="AM84">
        <f>+sum_sheet!AL94*'Equivalence Factor'!$L94</f>
        <v>8.099029399999999E-3</v>
      </c>
      <c r="AN84">
        <f>+sum_sheet!AM94*'Equivalence Factor'!$L94</f>
        <v>7.1328468399999984E-3</v>
      </c>
      <c r="AO84">
        <f>+sum_sheet!AN94*'Equivalence Factor'!$L94</f>
        <v>7.019259239999999E-3</v>
      </c>
      <c r="AP84">
        <f>+sum_sheet!AO94*'Equivalence Factor'!$L94</f>
        <v>6.9000671599999995E-3</v>
      </c>
      <c r="AQ84">
        <f>+sum_sheet!AP94*'Equivalence Factor'!$L94</f>
        <v>7.7639875599999986E-3</v>
      </c>
      <c r="AR84">
        <f>+sum_sheet!AQ94*'Equivalence Factor'!$L94</f>
        <v>7.5116075999999985E-3</v>
      </c>
      <c r="AS84">
        <f>+sum_sheet!AR94*'Equivalence Factor'!$L94</f>
        <v>7.3316356399999996E-3</v>
      </c>
      <c r="AT84">
        <f>+sum_sheet!AS94*'Equivalence Factor'!$L94</f>
        <v>7.5989401599999978E-3</v>
      </c>
    </row>
    <row r="85" spans="1:46" x14ac:dyDescent="0.2">
      <c r="A85" s="3" t="s">
        <v>217</v>
      </c>
      <c r="B85" t="s">
        <v>337</v>
      </c>
      <c r="C85" s="3" t="s">
        <v>17</v>
      </c>
      <c r="D85" s="3" t="s">
        <v>221</v>
      </c>
      <c r="E85" s="3" t="s">
        <v>222</v>
      </c>
      <c r="F85" s="3">
        <v>1</v>
      </c>
      <c r="G85" s="3" t="s">
        <v>15</v>
      </c>
      <c r="H85" s="3" t="s">
        <v>14</v>
      </c>
      <c r="I85" s="3" t="s">
        <v>34</v>
      </c>
      <c r="J85" s="6" t="s">
        <v>293</v>
      </c>
      <c r="K85" s="3" t="s">
        <v>218</v>
      </c>
      <c r="L85" s="7" t="s">
        <v>33</v>
      </c>
      <c r="M85" s="4">
        <v>6</v>
      </c>
      <c r="O85">
        <f>+sum_sheet!N95*'Equivalence Factor'!$L95</f>
        <v>5.1371531120000001E-2</v>
      </c>
      <c r="P85">
        <f>+sum_sheet!O95*'Equivalence Factor'!$L95</f>
        <v>5.3716726280000009E-2</v>
      </c>
      <c r="Q85">
        <f>+sum_sheet!P95*'Equivalence Factor'!$L95</f>
        <v>5.6211619520000006E-2</v>
      </c>
      <c r="R85">
        <f>+sum_sheet!Q95*'Equivalence Factor'!$L95</f>
        <v>7.3677527000000007E-2</v>
      </c>
      <c r="S85">
        <f>+sum_sheet!R95*'Equivalence Factor'!$L95</f>
        <v>6.9841347799999995E-2</v>
      </c>
      <c r="T85">
        <f>+sum_sheet!S95*'Equivalence Factor'!$L95</f>
        <v>6.9823095719999992E-2</v>
      </c>
      <c r="U85">
        <f>+sum_sheet!T95*'Equivalence Factor'!$L95</f>
        <v>7.2871606359999994E-2</v>
      </c>
      <c r="V85">
        <f>+sum_sheet!U95*'Equivalence Factor'!$L95</f>
        <v>3.9948200599999997E-2</v>
      </c>
      <c r="W85">
        <f>+sum_sheet!V95*'Equivalence Factor'!$L95</f>
        <v>3.5682364479999999E-2</v>
      </c>
      <c r="X85">
        <f>+sum_sheet!W95*'Equivalence Factor'!$L95</f>
        <v>3.640763251999999E-2</v>
      </c>
      <c r="Y85">
        <f>+sum_sheet!X95*'Equivalence Factor'!$L95</f>
        <v>3.9630841320000006E-2</v>
      </c>
      <c r="Z85">
        <f>+sum_sheet!Y95*'Equivalence Factor'!$L95</f>
        <v>3.6477484679999998E-2</v>
      </c>
      <c r="AA85">
        <f>+sum_sheet!Z95*'Equivalence Factor'!$L95</f>
        <v>3.6055520199999996E-2</v>
      </c>
      <c r="AB85">
        <f>+sum_sheet!AA95*'Equivalence Factor'!$L95</f>
        <v>3.7082208799999995E-2</v>
      </c>
      <c r="AC85">
        <f>+sum_sheet!AB95*'Equivalence Factor'!$L95</f>
        <v>3.7126864599999997E-2</v>
      </c>
      <c r="AD85">
        <f>+sum_sheet!AC95*'Equivalence Factor'!$L95</f>
        <v>1.8473112839999997E-2</v>
      </c>
      <c r="AE85">
        <f>+sum_sheet!AD95*'Equivalence Factor'!$L95</f>
        <v>1.6059355760000001E-2</v>
      </c>
      <c r="AF85">
        <f>+sum_sheet!AE95*'Equivalence Factor'!$L95</f>
        <v>1.731806524E-2</v>
      </c>
      <c r="AG85">
        <f>+sum_sheet!AF95*'Equivalence Factor'!$L95</f>
        <v>1.8898043079999999E-2</v>
      </c>
      <c r="AH85">
        <f>+sum_sheet!AG95*'Equivalence Factor'!$L95</f>
        <v>2.472159396E-2</v>
      </c>
      <c r="AI85">
        <f>+sum_sheet!AH95*'Equivalence Factor'!$L95</f>
        <v>2.7158283879999998E-2</v>
      </c>
      <c r="AJ85">
        <f>+sum_sheet!AI95*'Equivalence Factor'!$L95</f>
        <v>2.5648304080000003E-2</v>
      </c>
      <c r="AK85">
        <f>+sum_sheet!AJ95*'Equivalence Factor'!$L95</f>
        <v>2.1120162839999998E-2</v>
      </c>
      <c r="AL85">
        <f>+sum_sheet!AK95*'Equivalence Factor'!$L95</f>
        <v>2.708413372E-2</v>
      </c>
      <c r="AM85">
        <f>+sum_sheet!AL95*'Equivalence Factor'!$L95</f>
        <v>2.8251038199999998E-2</v>
      </c>
      <c r="AN85">
        <f>+sum_sheet!AM95*'Equivalence Factor'!$L95</f>
        <v>1.1537094519999999E-2</v>
      </c>
      <c r="AO85">
        <f>+sum_sheet!AN95*'Equivalence Factor'!$L95</f>
        <v>8.8250940400000002E-3</v>
      </c>
      <c r="AP85">
        <f>+sum_sheet!AO95*'Equivalence Factor'!$L95</f>
        <v>7.7791120399999985E-3</v>
      </c>
      <c r="AQ85">
        <f>+sum_sheet!AP95*'Equivalence Factor'!$L95</f>
        <v>1.0218780599999998E-2</v>
      </c>
      <c r="AR85">
        <f>+sum_sheet!AQ95*'Equivalence Factor'!$L95</f>
        <v>9.9660282399999991E-3</v>
      </c>
      <c r="AS85">
        <f>+sum_sheet!AR95*'Equivalence Factor'!$L95</f>
        <v>8.7489021200000006E-3</v>
      </c>
      <c r="AT85">
        <f>+sum_sheet!AS95*'Equivalence Factor'!$L95</f>
        <v>9.4770519199999983E-3</v>
      </c>
    </row>
    <row r="86" spans="1:46" x14ac:dyDescent="0.2">
      <c r="A86" s="3" t="s">
        <v>217</v>
      </c>
      <c r="B86" t="s">
        <v>337</v>
      </c>
      <c r="C86" s="3" t="s">
        <v>3</v>
      </c>
      <c r="D86" s="3" t="s">
        <v>226</v>
      </c>
      <c r="E86" s="3" t="s">
        <v>220</v>
      </c>
      <c r="F86" s="3">
        <v>1</v>
      </c>
      <c r="G86" s="3" t="s">
        <v>15</v>
      </c>
      <c r="H86" s="3" t="s">
        <v>14</v>
      </c>
      <c r="I86" s="3" t="s">
        <v>34</v>
      </c>
      <c r="J86" s="6" t="s">
        <v>293</v>
      </c>
      <c r="K86" s="3" t="s">
        <v>224</v>
      </c>
      <c r="L86" s="7" t="s">
        <v>37</v>
      </c>
      <c r="M86" s="4">
        <v>8</v>
      </c>
      <c r="O86">
        <f>+sum_sheet!N96*'Equivalence Factor'!$L96</f>
        <v>2.3819047999999996E-3</v>
      </c>
      <c r="P86">
        <f>+sum_sheet!O96*'Equivalence Factor'!$L96</f>
        <v>2.4086088499999997E-3</v>
      </c>
      <c r="Q86">
        <f>+sum_sheet!P96*'Equivalence Factor'!$L96</f>
        <v>2.2206310999999999E-3</v>
      </c>
      <c r="R86">
        <f>+sum_sheet!Q96*'Equivalence Factor'!$L96</f>
        <v>2.6069825499999994E-3</v>
      </c>
      <c r="S86">
        <f>+sum_sheet!R96*'Equivalence Factor'!$L96</f>
        <v>2.5451606999999997E-3</v>
      </c>
      <c r="T86">
        <f>+sum_sheet!S96*'Equivalence Factor'!$L96</f>
        <v>2.1050698999999997E-3</v>
      </c>
      <c r="U86">
        <f>+sum_sheet!T96*'Equivalence Factor'!$L96</f>
        <v>2.07845595E-3</v>
      </c>
      <c r="V86">
        <f>+sum_sheet!U96*'Equivalence Factor'!$L96</f>
        <v>1.8479563000000001E-3</v>
      </c>
      <c r="W86">
        <f>+sum_sheet!V96*'Equivalence Factor'!$L96</f>
        <v>1.7646985999999999E-3</v>
      </c>
      <c r="X86">
        <f>+sum_sheet!W96*'Equivalence Factor'!$L96</f>
        <v>2.1443137500000002E-3</v>
      </c>
      <c r="Y86">
        <f>+sum_sheet!X96*'Equivalence Factor'!$L96</f>
        <v>3.8584609499999994E-3</v>
      </c>
      <c r="Z86">
        <f>+sum_sheet!Y96*'Equivalence Factor'!$L96</f>
        <v>2.7002121999999996E-3</v>
      </c>
      <c r="AA86">
        <f>+sum_sheet!Z96*'Equivalence Factor'!$L96</f>
        <v>2.4857768499999999E-3</v>
      </c>
      <c r="AB86">
        <f>+sum_sheet!AA96*'Equivalence Factor'!$L96</f>
        <v>3.6064273999999994E-3</v>
      </c>
      <c r="AC86">
        <f>+sum_sheet!AB96*'Equivalence Factor'!$L96</f>
        <v>3.0433209499999992E-3</v>
      </c>
      <c r="AD86">
        <f>+sum_sheet!AC96*'Equivalence Factor'!$L96</f>
        <v>2.35149605E-3</v>
      </c>
      <c r="AE86">
        <f>+sum_sheet!AD96*'Equivalence Factor'!$L96</f>
        <v>1.3079127999999999E-3</v>
      </c>
      <c r="AF86">
        <f>+sum_sheet!AE96*'Equivalence Factor'!$L96</f>
        <v>3.815599849999999E-3</v>
      </c>
      <c r="AG86">
        <f>+sum_sheet!AF96*'Equivalence Factor'!$L96</f>
        <v>1.5465240999999999E-3</v>
      </c>
      <c r="AH86">
        <f>+sum_sheet!AG96*'Equivalence Factor'!$L96</f>
        <v>2.4657640499999999E-3</v>
      </c>
      <c r="AI86">
        <f>+sum_sheet!AH96*'Equivalence Factor'!$L96</f>
        <v>2.0563655500000001E-3</v>
      </c>
      <c r="AJ86">
        <f>+sum_sheet!AI96*'Equivalence Factor'!$L96</f>
        <v>2.04163685E-3</v>
      </c>
      <c r="AK86">
        <f>+sum_sheet!AJ96*'Equivalence Factor'!$L96</f>
        <v>1.8934329499999999E-3</v>
      </c>
      <c r="AL86">
        <f>+sum_sheet!AK96*'Equivalence Factor'!$L96</f>
        <v>1.5833379000000003E-3</v>
      </c>
      <c r="AM86">
        <f>+sum_sheet!AL96*'Equivalence Factor'!$L96</f>
        <v>1.7594091999999998E-3</v>
      </c>
      <c r="AN86">
        <f>+sum_sheet!AM96*'Equivalence Factor'!$L96</f>
        <v>2.05898905E-3</v>
      </c>
      <c r="AO86">
        <f>+sum_sheet!AN96*'Equivalence Factor'!$L96</f>
        <v>2.1378424499999995E-3</v>
      </c>
      <c r="AP86">
        <f>+sum_sheet!AO96*'Equivalence Factor'!$L96</f>
        <v>2.1502311999999995E-3</v>
      </c>
      <c r="AQ86">
        <f>+sum_sheet!AP96*'Equivalence Factor'!$L96</f>
        <v>2.2644965499999999E-3</v>
      </c>
      <c r="AR86">
        <f>+sum_sheet!AQ96*'Equivalence Factor'!$L96</f>
        <v>2.2381052000000003E-3</v>
      </c>
      <c r="AS86">
        <f>+sum_sheet!AR96*'Equivalence Factor'!$L96</f>
        <v>2.2894595499999997E-3</v>
      </c>
      <c r="AT86">
        <f>+sum_sheet!AS96*'Equivalence Factor'!$L96</f>
        <v>2.2843874499999996E-3</v>
      </c>
    </row>
    <row r="87" spans="1:46" x14ac:dyDescent="0.2">
      <c r="A87" s="3" t="s">
        <v>217</v>
      </c>
      <c r="B87" t="s">
        <v>337</v>
      </c>
      <c r="C87" s="3" t="s">
        <v>3</v>
      </c>
      <c r="D87" s="3" t="s">
        <v>219</v>
      </c>
      <c r="E87" s="3" t="s">
        <v>220</v>
      </c>
      <c r="F87" s="3">
        <v>1</v>
      </c>
      <c r="G87" s="3" t="s">
        <v>15</v>
      </c>
      <c r="H87" s="3" t="s">
        <v>14</v>
      </c>
      <c r="I87" s="3" t="s">
        <v>34</v>
      </c>
      <c r="J87" s="6" t="s">
        <v>293</v>
      </c>
      <c r="K87" s="3" t="s">
        <v>218</v>
      </c>
      <c r="L87" s="7" t="s">
        <v>37</v>
      </c>
      <c r="M87" s="4">
        <v>5</v>
      </c>
      <c r="O87">
        <f>+sum_sheet!N97*'Equivalence Factor'!$L97</f>
        <v>7.202564849999999E-3</v>
      </c>
      <c r="P87">
        <f>+sum_sheet!O97*'Equivalence Factor'!$L97</f>
        <v>7.5273037999999994E-3</v>
      </c>
      <c r="Q87">
        <f>+sum_sheet!P97*'Equivalence Factor'!$L97</f>
        <v>7.9348499499999978E-3</v>
      </c>
      <c r="R87">
        <f>+sum_sheet!Q97*'Equivalence Factor'!$L97</f>
        <v>1.000401765E-2</v>
      </c>
      <c r="S87">
        <f>+sum_sheet!R97*'Equivalence Factor'!$L97</f>
        <v>9.4916745999999979E-3</v>
      </c>
      <c r="T87">
        <f>+sum_sheet!S97*'Equivalence Factor'!$L97</f>
        <v>9.4466934999999988E-3</v>
      </c>
      <c r="U87">
        <f>+sum_sheet!T97*'Equivalence Factor'!$L97</f>
        <v>9.9472917499999983E-3</v>
      </c>
      <c r="V87">
        <f>+sum_sheet!U97*'Equivalence Factor'!$L97</f>
        <v>5.8798782999999995E-3</v>
      </c>
      <c r="W87">
        <f>+sum_sheet!V97*'Equivalence Factor'!$L97</f>
        <v>5.4254986999999998E-3</v>
      </c>
      <c r="X87">
        <f>+sum_sheet!W97*'Equivalence Factor'!$L97</f>
        <v>5.7331053999999998E-3</v>
      </c>
      <c r="Y87">
        <f>+sum_sheet!X97*'Equivalence Factor'!$L97</f>
        <v>6.2979131500000007E-3</v>
      </c>
      <c r="Z87">
        <f>+sum_sheet!Y97*'Equivalence Factor'!$L97</f>
        <v>5.8222248999999998E-3</v>
      </c>
      <c r="AA87">
        <f>+sum_sheet!Z97*'Equivalence Factor'!$L97</f>
        <v>5.3718467999999998E-3</v>
      </c>
      <c r="AB87">
        <f>+sum_sheet!AA97*'Equivalence Factor'!$L97</f>
        <v>5.3939689999999993E-3</v>
      </c>
      <c r="AC87">
        <f>+sum_sheet!AB97*'Equivalence Factor'!$L97</f>
        <v>5.3351071999999987E-3</v>
      </c>
      <c r="AD87">
        <f>+sum_sheet!AC97*'Equivalence Factor'!$L97</f>
        <v>3.0376632E-3</v>
      </c>
      <c r="AE87">
        <f>+sum_sheet!AD97*'Equivalence Factor'!$L97</f>
        <v>2.68572465E-3</v>
      </c>
      <c r="AF87">
        <f>+sum_sheet!AE97*'Equivalence Factor'!$L97</f>
        <v>2.71934255E-3</v>
      </c>
      <c r="AG87">
        <f>+sum_sheet!AF97*'Equivalence Factor'!$L97</f>
        <v>3.0001868999999996E-3</v>
      </c>
      <c r="AH87">
        <f>+sum_sheet!AG97*'Equivalence Factor'!$L97</f>
        <v>3.7938936999999998E-3</v>
      </c>
      <c r="AI87">
        <f>+sum_sheet!AH97*'Equivalence Factor'!$L97</f>
        <v>4.1074814500000004E-3</v>
      </c>
      <c r="AJ87">
        <f>+sum_sheet!AI97*'Equivalence Factor'!$L97</f>
        <v>3.8526866000000003E-3</v>
      </c>
      <c r="AK87">
        <f>+sum_sheet!AJ97*'Equivalence Factor'!$L97</f>
        <v>3.1068441000000001E-3</v>
      </c>
      <c r="AL87">
        <f>+sum_sheet!AK97*'Equivalence Factor'!$L97</f>
        <v>3.9196653499999996E-3</v>
      </c>
      <c r="AM87">
        <f>+sum_sheet!AL97*'Equivalence Factor'!$L97</f>
        <v>4.1497171500000001E-3</v>
      </c>
      <c r="AN87">
        <f>+sum_sheet!AM97*'Equivalence Factor'!$L97</f>
        <v>1.9483382999999999E-3</v>
      </c>
      <c r="AO87">
        <f>+sum_sheet!AN97*'Equivalence Factor'!$L97</f>
        <v>1.5529423999999998E-3</v>
      </c>
      <c r="AP87">
        <f>+sum_sheet!AO97*'Equivalence Factor'!$L97</f>
        <v>1.407256E-3</v>
      </c>
      <c r="AQ87">
        <f>+sum_sheet!AP97*'Equivalence Factor'!$L97</f>
        <v>1.7803335999999996E-3</v>
      </c>
      <c r="AR87">
        <f>+sum_sheet!AQ97*'Equivalence Factor'!$L97</f>
        <v>1.75983055E-3</v>
      </c>
      <c r="AS87">
        <f>+sum_sheet!AR97*'Equivalence Factor'!$L97</f>
        <v>1.5854446500000001E-3</v>
      </c>
      <c r="AT87">
        <f>+sum_sheet!AS97*'Equivalence Factor'!$L97</f>
        <v>1.7200169499999999E-3</v>
      </c>
    </row>
    <row r="88" spans="1:46" x14ac:dyDescent="0.2">
      <c r="A88" s="3" t="s">
        <v>45</v>
      </c>
      <c r="B88" t="s">
        <v>338</v>
      </c>
      <c r="C88" s="3" t="s">
        <v>9</v>
      </c>
      <c r="D88" s="3" t="s">
        <v>44</v>
      </c>
      <c r="E88" s="3" t="s">
        <v>43</v>
      </c>
      <c r="F88" s="3">
        <v>1</v>
      </c>
      <c r="G88" s="3" t="s">
        <v>15</v>
      </c>
      <c r="H88" s="3" t="s">
        <v>14</v>
      </c>
      <c r="I88" s="3" t="s">
        <v>25</v>
      </c>
      <c r="J88" s="6" t="s">
        <v>293</v>
      </c>
      <c r="K88" s="3" t="s">
        <v>42</v>
      </c>
      <c r="L88" s="7" t="s">
        <v>41</v>
      </c>
      <c r="M88" s="4" t="s">
        <v>40</v>
      </c>
      <c r="O88">
        <f>+sum_sheet!N98*'Equivalence Factor'!$L98</f>
        <v>48.91168584720738</v>
      </c>
      <c r="P88">
        <f>+sum_sheet!O98*'Equivalence Factor'!$L98</f>
        <v>51.446063101384098</v>
      </c>
      <c r="Q88">
        <f>+sum_sheet!P98*'Equivalence Factor'!$L98</f>
        <v>51.553362032161068</v>
      </c>
      <c r="R88">
        <f>+sum_sheet!Q98*'Equivalence Factor'!$L98</f>
        <v>51.367388043348839</v>
      </c>
      <c r="S88">
        <f>+sum_sheet!R98*'Equivalence Factor'!$L98</f>
        <v>53.988136564335562</v>
      </c>
      <c r="T88">
        <f>+sum_sheet!S98*'Equivalence Factor'!$L98</f>
        <v>54.011270891475831</v>
      </c>
      <c r="U88">
        <f>+sum_sheet!T98*'Equivalence Factor'!$L98</f>
        <v>59.321829399042329</v>
      </c>
      <c r="V88">
        <f>+sum_sheet!U98*'Equivalence Factor'!$L98</f>
        <v>56.680433450508282</v>
      </c>
      <c r="W88">
        <f>+sum_sheet!V98*'Equivalence Factor'!$L98</f>
        <v>55.479621404916841</v>
      </c>
      <c r="X88">
        <f>+sum_sheet!W98*'Equivalence Factor'!$L98</f>
        <v>55.335840644291324</v>
      </c>
      <c r="Y88">
        <f>+sum_sheet!X98*'Equivalence Factor'!$L98</f>
        <v>61.297394189919501</v>
      </c>
      <c r="Z88">
        <f>+sum_sheet!Y98*'Equivalence Factor'!$L98</f>
        <v>53.66525101310215</v>
      </c>
      <c r="AA88">
        <f>+sum_sheet!Z98*'Equivalence Factor'!$L98</f>
        <v>54.982930100342898</v>
      </c>
      <c r="AB88">
        <f>+sum_sheet!AA98*'Equivalence Factor'!$L98</f>
        <v>55.005590308375076</v>
      </c>
      <c r="AC88">
        <f>+sum_sheet!AB98*'Equivalence Factor'!$L98</f>
        <v>53.773543208280266</v>
      </c>
      <c r="AD88">
        <f>+sum_sheet!AC98*'Equivalence Factor'!$L98</f>
        <v>51.056464859763175</v>
      </c>
      <c r="AE88">
        <f>+sum_sheet!AD98*'Equivalence Factor'!$L98</f>
        <v>54.990933660778481</v>
      </c>
      <c r="AF88">
        <f>+sum_sheet!AE98*'Equivalence Factor'!$L98</f>
        <v>50.545229204792761</v>
      </c>
      <c r="AG88">
        <f>+sum_sheet!AF98*'Equivalence Factor'!$L98</f>
        <v>47.438193027823999</v>
      </c>
      <c r="AH88">
        <f>+sum_sheet!AG98*'Equivalence Factor'!$L98</f>
        <v>46.719588463077201</v>
      </c>
      <c r="AI88">
        <f>+sum_sheet!AH98*'Equivalence Factor'!$L98</f>
        <v>42.249841550930377</v>
      </c>
      <c r="AJ88">
        <f>+sum_sheet!AI98*'Equivalence Factor'!$L98</f>
        <v>43.272243096911389</v>
      </c>
      <c r="AK88">
        <f>+sum_sheet!AJ98*'Equivalence Factor'!$L98</f>
        <v>39.135250821669636</v>
      </c>
      <c r="AL88">
        <f>+sum_sheet!AK98*'Equivalence Factor'!$L98</f>
        <v>38.044233980810873</v>
      </c>
      <c r="AM88">
        <f>+sum_sheet!AL98*'Equivalence Factor'!$L98</f>
        <v>36.146866983084735</v>
      </c>
      <c r="AN88">
        <f>+sum_sheet!AM98*'Equivalence Factor'!$L98</f>
        <v>36.838766928774717</v>
      </c>
      <c r="AO88">
        <f>+sum_sheet!AN98*'Equivalence Factor'!$L98</f>
        <v>38.217068495835861</v>
      </c>
      <c r="AP88">
        <f>+sum_sheet!AO98*'Equivalence Factor'!$L98</f>
        <v>41.295889764987628</v>
      </c>
      <c r="AQ88">
        <f>+sum_sheet!AP98*'Equivalence Factor'!$L98</f>
        <v>38.120758176830073</v>
      </c>
      <c r="AR88">
        <f>+sum_sheet!AQ98*'Equivalence Factor'!$L98</f>
        <v>40.512744758263487</v>
      </c>
      <c r="AS88">
        <f>+sum_sheet!AR98*'Equivalence Factor'!$L98</f>
        <v>39.234403301351925</v>
      </c>
      <c r="AT88">
        <f>+sum_sheet!AS98*'Equivalence Factor'!$L98</f>
        <v>44.889634254650012</v>
      </c>
    </row>
    <row r="89" spans="1:46" x14ac:dyDescent="0.2">
      <c r="A89" s="3" t="s">
        <v>45</v>
      </c>
      <c r="B89" t="s">
        <v>338</v>
      </c>
      <c r="C89" s="3" t="s">
        <v>17</v>
      </c>
      <c r="D89" s="3" t="s">
        <v>65</v>
      </c>
      <c r="E89" s="3" t="s">
        <v>51</v>
      </c>
      <c r="F89" s="3">
        <v>1</v>
      </c>
      <c r="G89" s="3" t="s">
        <v>18</v>
      </c>
      <c r="H89" s="3" t="s">
        <v>14</v>
      </c>
      <c r="I89" s="3" t="s">
        <v>48</v>
      </c>
      <c r="J89" s="12" t="s">
        <v>306</v>
      </c>
      <c r="K89" s="3" t="s">
        <v>47</v>
      </c>
      <c r="L89" s="3" t="s">
        <v>63</v>
      </c>
      <c r="M89" s="4">
        <v>73</v>
      </c>
      <c r="O89">
        <f>+sum_sheet!N99*'Equivalence Factor'!$L99</f>
        <v>8.8464406854902398E-3</v>
      </c>
      <c r="P89">
        <f>+sum_sheet!O99*'Equivalence Factor'!$L99</f>
        <v>1.0657316541191038E-2</v>
      </c>
      <c r="Q89">
        <f>+sum_sheet!P99*'Equivalence Factor'!$L99</f>
        <v>9.0010628340393591E-3</v>
      </c>
      <c r="R89">
        <f>+sum_sheet!Q99*'Equivalence Factor'!$L99</f>
        <v>9.5367121075363194E-3</v>
      </c>
      <c r="S89">
        <f>+sum_sheet!R99*'Equivalence Factor'!$L99</f>
        <v>1.0995194383776963E-2</v>
      </c>
      <c r="T89">
        <f>+sum_sheet!S99*'Equivalence Factor'!$L99</f>
        <v>9.5857489718793563E-3</v>
      </c>
      <c r="U89">
        <f>+sum_sheet!T99*'Equivalence Factor'!$L99</f>
        <v>9.5901729068476778E-3</v>
      </c>
      <c r="V89">
        <f>+sum_sheet!U99*'Equivalence Factor'!$L99</f>
        <v>1.0174340099797436E-2</v>
      </c>
      <c r="W89">
        <f>+sum_sheet!V99*'Equivalence Factor'!$L99</f>
        <v>9.4545693679718382E-3</v>
      </c>
      <c r="X89">
        <f>+sum_sheet!W99*'Equivalence Factor'!$L99</f>
        <v>1.1171792348559362E-2</v>
      </c>
      <c r="Y89">
        <f>+sum_sheet!X99*'Equivalence Factor'!$L99</f>
        <v>1.1571458081003518E-2</v>
      </c>
      <c r="Z89">
        <f>+sum_sheet!Y99*'Equivalence Factor'!$L99</f>
        <v>1.2960739062190078E-2</v>
      </c>
      <c r="AA89">
        <f>+sum_sheet!Z99*'Equivalence Factor'!$L99</f>
        <v>1.2089023631247361E-2</v>
      </c>
      <c r="AB89">
        <f>+sum_sheet!AA99*'Equivalence Factor'!$L99</f>
        <v>1.255798674041856E-2</v>
      </c>
      <c r="AC89">
        <f>+sum_sheet!AB99*'Equivalence Factor'!$L99</f>
        <v>1.14660934370304E-2</v>
      </c>
      <c r="AD89">
        <f>+sum_sheet!AC99*'Equivalence Factor'!$L99</f>
        <v>9.177863045836801E-3</v>
      </c>
      <c r="AE89">
        <f>+sum_sheet!AD99*'Equivalence Factor'!$L99</f>
        <v>7.6445557805568014E-3</v>
      </c>
      <c r="AF89">
        <f>+sum_sheet!AE99*'Equivalence Factor'!$L99</f>
        <v>7.0934350609920017E-3</v>
      </c>
      <c r="AG89">
        <f>+sum_sheet!AF99*'Equivalence Factor'!$L99</f>
        <v>6.5386552157337607E-3</v>
      </c>
      <c r="AH89">
        <f>+sum_sheet!AG99*'Equivalence Factor'!$L99</f>
        <v>5.4523852312473595E-3</v>
      </c>
      <c r="AI89">
        <f>+sum_sheet!AH99*'Equivalence Factor'!$L99</f>
        <v>1.9673060716646398E-3</v>
      </c>
      <c r="AJ89">
        <f>+sum_sheet!AI99*'Equivalence Factor'!$L99</f>
        <v>2.0400348158668802E-3</v>
      </c>
      <c r="AK89">
        <f>+sum_sheet!AJ99*'Equivalence Factor'!$L99</f>
        <v>2.1009412058879992E-3</v>
      </c>
      <c r="AL89">
        <f>+sum_sheet!AK99*'Equivalence Factor'!$L99</f>
        <v>1.8640619016499201E-3</v>
      </c>
      <c r="AM89">
        <f>+sum_sheet!AL99*'Equivalence Factor'!$L99</f>
        <v>1.7643764865484799E-3</v>
      </c>
      <c r="AN89">
        <f>+sum_sheet!AM99*'Equivalence Factor'!$L99</f>
        <v>1.7660936332032E-3</v>
      </c>
      <c r="AO89">
        <f>+sum_sheet!AN99*'Equivalence Factor'!$L99</f>
        <v>1.6813118507673602E-3</v>
      </c>
      <c r="AP89">
        <f>+sum_sheet!AO99*'Equivalence Factor'!$L99</f>
        <v>1.7327749996032002E-3</v>
      </c>
      <c r="AQ89">
        <f>+sum_sheet!AP99*'Equivalence Factor'!$L99</f>
        <v>1.7685269228390396E-3</v>
      </c>
      <c r="AR89">
        <f>+sum_sheet!AQ99*'Equivalence Factor'!$L99</f>
        <v>1.8315390143232003E-3</v>
      </c>
      <c r="AS89">
        <f>+sum_sheet!AR99*'Equivalence Factor'!$L99</f>
        <v>1.2254247434956801E-3</v>
      </c>
      <c r="AT89">
        <f>+sum_sheet!AS99*'Equivalence Factor'!$L99</f>
        <v>1.3414876122009602E-3</v>
      </c>
    </row>
    <row r="90" spans="1:46" x14ac:dyDescent="0.2">
      <c r="A90" s="3" t="s">
        <v>45</v>
      </c>
      <c r="B90" t="s">
        <v>338</v>
      </c>
      <c r="C90" s="3" t="s">
        <v>17</v>
      </c>
      <c r="D90" s="3" t="s">
        <v>62</v>
      </c>
      <c r="E90" s="3" t="s">
        <v>51</v>
      </c>
      <c r="F90" s="3">
        <v>1</v>
      </c>
      <c r="G90" s="3" t="s">
        <v>18</v>
      </c>
      <c r="H90" s="3" t="s">
        <v>14</v>
      </c>
      <c r="I90" s="3" t="s">
        <v>48</v>
      </c>
      <c r="J90" s="12" t="s">
        <v>306</v>
      </c>
      <c r="K90" s="3" t="s">
        <v>60</v>
      </c>
      <c r="L90" s="7" t="s">
        <v>59</v>
      </c>
      <c r="M90" s="4">
        <v>62</v>
      </c>
      <c r="O90">
        <f>+sum_sheet!N100*'Equivalence Factor'!$L100</f>
        <v>3.8640031616076219E-4</v>
      </c>
      <c r="P90">
        <f>+sum_sheet!O100*'Equivalence Factor'!$L100</f>
        <v>3.5329017659141947E-4</v>
      </c>
      <c r="Q90">
        <f>+sum_sheet!P100*'Equivalence Factor'!$L100</f>
        <v>3.4458769600986773E-4</v>
      </c>
      <c r="R90">
        <f>+sum_sheet!Q100*'Equivalence Factor'!$L100</f>
        <v>3.6993396152509958E-4</v>
      </c>
      <c r="S90">
        <f>+sum_sheet!R100*'Equivalence Factor'!$L100</f>
        <v>3.8054100134322336E-4</v>
      </c>
      <c r="T90">
        <f>+sum_sheet!S100*'Equivalence Factor'!$L100</f>
        <v>4.0533494468471531E-4</v>
      </c>
      <c r="U90">
        <f>+sum_sheet!T100*'Equivalence Factor'!$L100</f>
        <v>3.5851473051006795E-4</v>
      </c>
      <c r="V90">
        <f>+sum_sheet!U100*'Equivalence Factor'!$L100</f>
        <v>3.3771385473829946E-4</v>
      </c>
      <c r="W90">
        <f>+sum_sheet!V100*'Equivalence Factor'!$L100</f>
        <v>3.36177145831327E-4</v>
      </c>
      <c r="X90">
        <f>+sum_sheet!W100*'Equivalence Factor'!$L100</f>
        <v>3.6161713490619315E-4</v>
      </c>
      <c r="Y90">
        <f>+sum_sheet!X100*'Equivalence Factor'!$L100</f>
        <v>3.411035039350348E-4</v>
      </c>
      <c r="Z90">
        <f>+sum_sheet!Y100*'Equivalence Factor'!$L100</f>
        <v>2.9477512511889229E-4</v>
      </c>
      <c r="AA90">
        <f>+sum_sheet!Z100*'Equivalence Factor'!$L100</f>
        <v>2.9643899856257816E-4</v>
      </c>
      <c r="AB90">
        <f>+sum_sheet!AA100*'Equivalence Factor'!$L100</f>
        <v>2.9344393663312902E-4</v>
      </c>
      <c r="AC90">
        <f>+sum_sheet!AB100*'Equivalence Factor'!$L100</f>
        <v>3.006568561646947E-4</v>
      </c>
      <c r="AD90">
        <f>+sum_sheet!AC100*'Equivalence Factor'!$L100</f>
        <v>3.0166290833321031E-4</v>
      </c>
      <c r="AE90">
        <f>+sum_sheet!AD100*'Equivalence Factor'!$L100</f>
        <v>2.9297313368616341E-4</v>
      </c>
      <c r="AF90">
        <f>+sum_sheet!AE100*'Equivalence Factor'!$L100</f>
        <v>2.0079570216957816E-4</v>
      </c>
      <c r="AG90">
        <f>+sum_sheet!AF100*'Equivalence Factor'!$L100</f>
        <v>1.7161009271389848E-4</v>
      </c>
      <c r="AH90">
        <f>+sum_sheet!AG100*'Equivalence Factor'!$L100</f>
        <v>2.2978209352664023E-4</v>
      </c>
      <c r="AI90">
        <f>+sum_sheet!AH100*'Equivalence Factor'!$L100</f>
        <v>1.8813569557224534E-4</v>
      </c>
      <c r="AJ90">
        <f>+sum_sheet!AI100*'Equivalence Factor'!$L100</f>
        <v>1.7912785440705746E-4</v>
      </c>
      <c r="AK90">
        <f>+sum_sheet!AJ100*'Equivalence Factor'!$L100</f>
        <v>1.8046421841125219E-4</v>
      </c>
      <c r="AL90">
        <f>+sum_sheet!AK100*'Equivalence Factor'!$L100</f>
        <v>1.5359716525118123E-4</v>
      </c>
      <c r="AM90">
        <f>+sum_sheet!AL100*'Equivalence Factor'!$L100</f>
        <v>1.308640262995213E-4</v>
      </c>
      <c r="AN90">
        <f>+sum_sheet!AM100*'Equivalence Factor'!$L100</f>
        <v>1.0957930315625225E-4</v>
      </c>
      <c r="AO90">
        <f>+sum_sheet!AN100*'Equivalence Factor'!$L100</f>
        <v>9.9202964118376812E-5</v>
      </c>
      <c r="AP90">
        <f>+sum_sheet!AO100*'Equivalence Factor'!$L100</f>
        <v>8.7181224872040548E-5</v>
      </c>
      <c r="AQ90">
        <f>+sum_sheet!AP100*'Equivalence Factor'!$L100</f>
        <v>7.5445722912869385E-5</v>
      </c>
      <c r="AR90">
        <f>+sum_sheet!AQ100*'Equivalence Factor'!$L100</f>
        <v>1.058083342857233E-4</v>
      </c>
      <c r="AS90">
        <f>+sum_sheet!AR100*'Equivalence Factor'!$L100</f>
        <v>8.9933983871328329E-5</v>
      </c>
      <c r="AT90">
        <f>+sum_sheet!AS100*'Equivalence Factor'!$L100</f>
        <v>1.9971388698032967E-4</v>
      </c>
    </row>
    <row r="91" spans="1:46" x14ac:dyDescent="0.2">
      <c r="A91" s="3" t="s">
        <v>45</v>
      </c>
      <c r="B91" t="s">
        <v>338</v>
      </c>
      <c r="C91" s="3" t="s">
        <v>17</v>
      </c>
      <c r="D91" s="3" t="s">
        <v>52</v>
      </c>
      <c r="E91" s="3" t="s">
        <v>51</v>
      </c>
      <c r="F91" s="3">
        <v>1</v>
      </c>
      <c r="G91" s="3" t="s">
        <v>18</v>
      </c>
      <c r="H91" s="3" t="s">
        <v>14</v>
      </c>
      <c r="I91" s="3" t="s">
        <v>48</v>
      </c>
      <c r="J91" s="12" t="s">
        <v>306</v>
      </c>
      <c r="K91" s="3" t="s">
        <v>47</v>
      </c>
      <c r="L91" s="7" t="s">
        <v>46</v>
      </c>
      <c r="M91" s="4">
        <v>70</v>
      </c>
      <c r="O91">
        <f>+sum_sheet!N101*'Equivalence Factor'!$L101</f>
        <v>1.545268725E-3</v>
      </c>
      <c r="P91">
        <f>+sum_sheet!O101*'Equivalence Factor'!$L101</f>
        <v>1.7944426499999996E-3</v>
      </c>
      <c r="Q91">
        <f>+sum_sheet!P101*'Equivalence Factor'!$L101</f>
        <v>1.1356845499999998E-3</v>
      </c>
      <c r="R91">
        <f>+sum_sheet!Q101*'Equivalence Factor'!$L101</f>
        <v>9.2117024999999978E-4</v>
      </c>
      <c r="S91">
        <f>+sum_sheet!R101*'Equivalence Factor'!$L101</f>
        <v>7.6621544999999993E-4</v>
      </c>
      <c r="T91">
        <f>+sum_sheet!S101*'Equivalence Factor'!$L101</f>
        <v>4.4609564999999998E-4</v>
      </c>
      <c r="U91">
        <f>+sum_sheet!T101*'Equivalence Factor'!$L101</f>
        <v>5.9486927499999992E-4</v>
      </c>
      <c r="V91">
        <f>+sum_sheet!U101*'Equivalence Factor'!$L101</f>
        <v>4.3981437499999998E-4</v>
      </c>
      <c r="W91">
        <f>+sum_sheet!V101*'Equivalence Factor'!$L101</f>
        <v>5.1000949999999992E-4</v>
      </c>
      <c r="X91">
        <f>+sum_sheet!W101*'Equivalence Factor'!$L101</f>
        <v>6.7419852499999995E-4</v>
      </c>
      <c r="Y91">
        <f>+sum_sheet!X101*'Equivalence Factor'!$L101</f>
        <v>1.109082975E-3</v>
      </c>
      <c r="Z91">
        <f>+sum_sheet!Y101*'Equivalence Factor'!$L101</f>
        <v>1.5312296999999999E-3</v>
      </c>
      <c r="AA91">
        <f>+sum_sheet!Z101*'Equivalence Factor'!$L101</f>
        <v>1.3058795749999999E-3</v>
      </c>
      <c r="AB91">
        <f>+sum_sheet!AA101*'Equivalence Factor'!$L101</f>
        <v>1.3490977500000001E-3</v>
      </c>
      <c r="AC91">
        <f>+sum_sheet!AB101*'Equivalence Factor'!$L101</f>
        <v>1.1592831249999998E-3</v>
      </c>
      <c r="AD91">
        <f>+sum_sheet!AC101*'Equivalence Factor'!$L101</f>
        <v>8.9494404999999986E-4</v>
      </c>
      <c r="AE91">
        <f>+sum_sheet!AD101*'Equivalence Factor'!$L101</f>
        <v>1.4558544000000001E-3</v>
      </c>
      <c r="AF91">
        <f>+sum_sheet!AE101*'Equivalence Factor'!$L101</f>
        <v>1.4967952999999999E-3</v>
      </c>
      <c r="AG91">
        <f>+sum_sheet!AF101*'Equivalence Factor'!$L101</f>
        <v>8.9667077499999996E-4</v>
      </c>
      <c r="AH91">
        <f>+sum_sheet!AG101*'Equivalence Factor'!$L101</f>
        <v>5.7790232500000004E-4</v>
      </c>
      <c r="AI91">
        <f>+sum_sheet!AH101*'Equivalence Factor'!$L101</f>
        <v>8.7680092499999994E-4</v>
      </c>
      <c r="AJ91">
        <f>+sum_sheet!AI101*'Equivalence Factor'!$L101</f>
        <v>1.1773762E-3</v>
      </c>
      <c r="AK91">
        <f>+sum_sheet!AJ101*'Equivalence Factor'!$L101</f>
        <v>7.7262184999999999E-4</v>
      </c>
      <c r="AL91">
        <f>+sum_sheet!AK101*'Equivalence Factor'!$L101</f>
        <v>9.2259667499999993E-4</v>
      </c>
      <c r="AM91">
        <f>+sum_sheet!AL101*'Equivalence Factor'!$L101</f>
        <v>1.1309548249999997E-3</v>
      </c>
      <c r="AN91">
        <f>+sum_sheet!AM101*'Equivalence Factor'!$L101</f>
        <v>1.4078063999999999E-3</v>
      </c>
      <c r="AO91">
        <f>+sum_sheet!AN101*'Equivalence Factor'!$L101</f>
        <v>1.0643132500000002E-3</v>
      </c>
      <c r="AP91">
        <f>+sum_sheet!AO101*'Equivalence Factor'!$L101</f>
        <v>5.4772217500000011E-4</v>
      </c>
      <c r="AQ91">
        <f>+sum_sheet!AP101*'Equivalence Factor'!$L101</f>
        <v>6.2775212499999991E-4</v>
      </c>
      <c r="AR91">
        <f>+sum_sheet!AQ101*'Equivalence Factor'!$L101</f>
        <v>8.0537957500000004E-4</v>
      </c>
      <c r="AS91">
        <f>+sum_sheet!AR101*'Equivalence Factor'!$L101</f>
        <v>2.8598570000000002E-4</v>
      </c>
      <c r="AT91">
        <f>+sum_sheet!AS101*'Equivalence Factor'!$L101</f>
        <v>2.8598570000000002E-4</v>
      </c>
    </row>
    <row r="92" spans="1:46" x14ac:dyDescent="0.2">
      <c r="A92" s="3" t="s">
        <v>45</v>
      </c>
      <c r="B92" t="s">
        <v>338</v>
      </c>
      <c r="C92" s="3" t="s">
        <v>17</v>
      </c>
      <c r="D92" s="3" t="s">
        <v>58</v>
      </c>
      <c r="E92" s="3" t="s">
        <v>51</v>
      </c>
      <c r="F92" s="3">
        <v>1</v>
      </c>
      <c r="G92" s="3" t="s">
        <v>18</v>
      </c>
      <c r="H92" s="3" t="s">
        <v>14</v>
      </c>
      <c r="I92" s="3" t="s">
        <v>48</v>
      </c>
      <c r="J92" s="12" t="s">
        <v>306</v>
      </c>
      <c r="K92" s="3" t="s">
        <v>55</v>
      </c>
      <c r="L92" s="7" t="s">
        <v>54</v>
      </c>
      <c r="M92" s="4" t="s">
        <v>57</v>
      </c>
      <c r="O92">
        <f>+sum_sheet!N102*'Equivalence Factor'!$L102</f>
        <v>6.6465295410076267E-3</v>
      </c>
      <c r="P92">
        <f>+sum_sheet!O102*'Equivalence Factor'!$L102</f>
        <v>6.4045401721681359E-3</v>
      </c>
      <c r="Q92">
        <f>+sum_sheet!P102*'Equivalence Factor'!$L102</f>
        <v>5.6896138217890678E-3</v>
      </c>
      <c r="R92">
        <f>+sum_sheet!Q102*'Equivalence Factor'!$L102</f>
        <v>5.8153793887969658E-3</v>
      </c>
      <c r="S92">
        <f>+sum_sheet!R102*'Equivalence Factor'!$L102</f>
        <v>5.9032955424507217E-3</v>
      </c>
      <c r="T92">
        <f>+sum_sheet!S102*'Equivalence Factor'!$L102</f>
        <v>5.8095670738900823E-3</v>
      </c>
      <c r="U92">
        <f>+sum_sheet!T102*'Equivalence Factor'!$L102</f>
        <v>5.3457578352750805E-3</v>
      </c>
      <c r="V92">
        <f>+sum_sheet!U102*'Equivalence Factor'!$L102</f>
        <v>4.8702166676198849E-3</v>
      </c>
      <c r="W92">
        <f>+sum_sheet!V102*'Equivalence Factor'!$L102</f>
        <v>4.5156155067130081E-3</v>
      </c>
      <c r="X92">
        <f>+sum_sheet!W102*'Equivalence Factor'!$L102</f>
        <v>4.172911652960438E-3</v>
      </c>
      <c r="Y92">
        <f>+sum_sheet!X102*'Equivalence Factor'!$L102</f>
        <v>3.4574071321379959E-3</v>
      </c>
      <c r="Z92">
        <f>+sum_sheet!Y102*'Equivalence Factor'!$L102</f>
        <v>2.724613929319736E-3</v>
      </c>
      <c r="AA92">
        <f>+sum_sheet!Z102*'Equivalence Factor'!$L102</f>
        <v>2.6862335754292664E-3</v>
      </c>
      <c r="AB92">
        <f>+sum_sheet!AA102*'Equivalence Factor'!$L102</f>
        <v>2.5788112555672048E-3</v>
      </c>
      <c r="AC92">
        <f>+sum_sheet!AB102*'Equivalence Factor'!$L102</f>
        <v>2.4361876580006035E-3</v>
      </c>
      <c r="AD92">
        <f>+sum_sheet!AC102*'Equivalence Factor'!$L102</f>
        <v>2.2468192142145451E-3</v>
      </c>
      <c r="AE92">
        <f>+sum_sheet!AD102*'Equivalence Factor'!$L102</f>
        <v>1.0283454681766959E-3</v>
      </c>
      <c r="AF92">
        <f>+sum_sheet!AE102*'Equivalence Factor'!$L102</f>
        <v>1.1976379788525358E-3</v>
      </c>
      <c r="AG92">
        <f>+sum_sheet!AF102*'Equivalence Factor'!$L102</f>
        <v>1.2844544612842647E-3</v>
      </c>
      <c r="AH92">
        <f>+sum_sheet!AG102*'Equivalence Factor'!$L102</f>
        <v>1.6278640270024124E-3</v>
      </c>
      <c r="AI92">
        <f>+sum_sheet!AH102*'Equivalence Factor'!$L102</f>
        <v>1.5785889457750897E-3</v>
      </c>
      <c r="AJ92">
        <f>+sum_sheet!AI102*'Equivalence Factor'!$L102</f>
        <v>1.5842814307218964E-3</v>
      </c>
      <c r="AK92">
        <f>+sum_sheet!AJ102*'Equivalence Factor'!$L102</f>
        <v>1.6265991322420884E-3</v>
      </c>
      <c r="AL92">
        <f>+sum_sheet!AK102*'Equivalence Factor'!$L102</f>
        <v>1.6993676287941125E-3</v>
      </c>
      <c r="AM92">
        <f>+sum_sheet!AL102*'Equivalence Factor'!$L102</f>
        <v>1.7765536829360733E-3</v>
      </c>
      <c r="AN92">
        <f>+sum_sheet!AM102*'Equivalence Factor'!$L102</f>
        <v>1.7463343358942354E-3</v>
      </c>
      <c r="AO92">
        <f>+sum_sheet!AN102*'Equivalence Factor'!$L102</f>
        <v>2.4100425073431994E-3</v>
      </c>
      <c r="AP92">
        <f>+sum_sheet!AO102*'Equivalence Factor'!$L102</f>
        <v>2.3910524323433441E-3</v>
      </c>
      <c r="AQ92">
        <f>+sum_sheet!AP102*'Equivalence Factor'!$L102</f>
        <v>2.4745200320366156E-3</v>
      </c>
      <c r="AR92">
        <f>+sum_sheet!AQ102*'Equivalence Factor'!$L102</f>
        <v>2.5875681403140093E-3</v>
      </c>
      <c r="AS92">
        <f>+sum_sheet!AR102*'Equivalence Factor'!$L102</f>
        <v>2.0443732466479542E-3</v>
      </c>
      <c r="AT92">
        <f>+sum_sheet!AS102*'Equivalence Factor'!$L102</f>
        <v>2.6501892110514453E-3</v>
      </c>
    </row>
    <row r="93" spans="1:46" x14ac:dyDescent="0.2">
      <c r="A93" s="3" t="s">
        <v>45</v>
      </c>
      <c r="B93" t="s">
        <v>338</v>
      </c>
      <c r="C93" s="3" t="s">
        <v>17</v>
      </c>
      <c r="D93" s="3" t="s">
        <v>70</v>
      </c>
      <c r="E93" s="3" t="s">
        <v>51</v>
      </c>
      <c r="F93" s="3">
        <v>1</v>
      </c>
      <c r="G93" s="3" t="s">
        <v>18</v>
      </c>
      <c r="H93" s="3" t="s">
        <v>14</v>
      </c>
      <c r="I93" s="3" t="s">
        <v>48</v>
      </c>
      <c r="J93" s="12" t="s">
        <v>306</v>
      </c>
      <c r="K93" s="3" t="s">
        <v>55</v>
      </c>
      <c r="L93" s="7" t="s">
        <v>67</v>
      </c>
      <c r="M93" s="4" t="s">
        <v>69</v>
      </c>
      <c r="O93">
        <f>+sum_sheet!N103*'Equivalence Factor'!$L103</f>
        <v>9.7975129250236437E-2</v>
      </c>
      <c r="P93">
        <f>+sum_sheet!O103*'Equivalence Factor'!$L103</f>
        <v>8.5822774833986593E-2</v>
      </c>
      <c r="Q93">
        <f>+sum_sheet!P103*'Equivalence Factor'!$L103</f>
        <v>8.0492177762033018E-2</v>
      </c>
      <c r="R93">
        <f>+sum_sheet!Q103*'Equivalence Factor'!$L103</f>
        <v>8.2961034115696886E-2</v>
      </c>
      <c r="S93">
        <f>+sum_sheet!R103*'Equivalence Factor'!$L103</f>
        <v>8.1354007674572529E-2</v>
      </c>
      <c r="T93">
        <f>+sum_sheet!S103*'Equivalence Factor'!$L103</f>
        <v>7.9968900605616622E-2</v>
      </c>
      <c r="U93">
        <f>+sum_sheet!T103*'Equivalence Factor'!$L103</f>
        <v>7.475850604069513E-2</v>
      </c>
      <c r="V93">
        <f>+sum_sheet!U103*'Equivalence Factor'!$L103</f>
        <v>7.1388409047443077E-2</v>
      </c>
      <c r="W93">
        <f>+sum_sheet!V103*'Equivalence Factor'!$L103</f>
        <v>6.9304629929476405E-2</v>
      </c>
      <c r="X93">
        <f>+sum_sheet!W103*'Equivalence Factor'!$L103</f>
        <v>5.9053684900795309E-2</v>
      </c>
      <c r="Y93">
        <f>+sum_sheet!X103*'Equivalence Factor'!$L103</f>
        <v>5.3222200307810046E-2</v>
      </c>
      <c r="Z93">
        <f>+sum_sheet!Y103*'Equivalence Factor'!$L103</f>
        <v>4.8823677093623133E-2</v>
      </c>
      <c r="AA93">
        <f>+sum_sheet!Z103*'Equivalence Factor'!$L103</f>
        <v>4.5994713807503196E-2</v>
      </c>
      <c r="AB93">
        <f>+sum_sheet!AA103*'Equivalence Factor'!$L103</f>
        <v>4.2638793613944223E-2</v>
      </c>
      <c r="AC93">
        <f>+sum_sheet!AB103*'Equivalence Factor'!$L103</f>
        <v>3.8829414040367452E-2</v>
      </c>
      <c r="AD93">
        <f>+sum_sheet!AC103*'Equivalence Factor'!$L103</f>
        <v>3.5682833540702202E-2</v>
      </c>
      <c r="AE93">
        <f>+sum_sheet!AD103*'Equivalence Factor'!$L103</f>
        <v>3.559863909970671E-2</v>
      </c>
      <c r="AF93">
        <f>+sum_sheet!AE103*'Equivalence Factor'!$L103</f>
        <v>3.0497323570471274E-2</v>
      </c>
      <c r="AG93">
        <f>+sum_sheet!AF103*'Equivalence Factor'!$L103</f>
        <v>2.8173902957665774E-2</v>
      </c>
      <c r="AH93">
        <f>+sum_sheet!AG103*'Equivalence Factor'!$L103</f>
        <v>2.522072519299726E-2</v>
      </c>
      <c r="AI93">
        <f>+sum_sheet!AH103*'Equivalence Factor'!$L103</f>
        <v>2.4188015204311224E-2</v>
      </c>
      <c r="AJ93">
        <f>+sum_sheet!AI103*'Equivalence Factor'!$L103</f>
        <v>2.3708030843722454E-2</v>
      </c>
      <c r="AK93">
        <f>+sum_sheet!AJ103*'Equivalence Factor'!$L103</f>
        <v>2.1157020206308479E-2</v>
      </c>
      <c r="AL93">
        <f>+sum_sheet!AK103*'Equivalence Factor'!$L103</f>
        <v>1.9354107303475067E-2</v>
      </c>
      <c r="AM93">
        <f>+sum_sheet!AL103*'Equivalence Factor'!$L103</f>
        <v>1.74875347676661E-2</v>
      </c>
      <c r="AN93">
        <f>+sum_sheet!AM103*'Equivalence Factor'!$L103</f>
        <v>1.5691712846672753E-2</v>
      </c>
      <c r="AO93">
        <f>+sum_sheet!AN103*'Equivalence Factor'!$L103</f>
        <v>1.4557436137545527E-2</v>
      </c>
      <c r="AP93">
        <f>+sum_sheet!AO103*'Equivalence Factor'!$L103</f>
        <v>1.3262036084766428E-2</v>
      </c>
      <c r="AQ93">
        <f>+sum_sheet!AP103*'Equivalence Factor'!$L103</f>
        <v>1.234291480000428E-2</v>
      </c>
      <c r="AR93">
        <f>+sum_sheet!AQ103*'Equivalence Factor'!$L103</f>
        <v>1.3419798210218496E-2</v>
      </c>
      <c r="AS93">
        <f>+sum_sheet!AR103*'Equivalence Factor'!$L103</f>
        <v>1.203948213661787E-2</v>
      </c>
      <c r="AT93">
        <f>+sum_sheet!AS103*'Equivalence Factor'!$L103</f>
        <v>1.2416383098436869E-2</v>
      </c>
    </row>
    <row r="94" spans="1:46" x14ac:dyDescent="0.2">
      <c r="A94" s="3" t="s">
        <v>45</v>
      </c>
      <c r="B94" t="s">
        <v>338</v>
      </c>
      <c r="C94" s="3" t="s">
        <v>17</v>
      </c>
      <c r="D94" s="3" t="s">
        <v>72</v>
      </c>
      <c r="E94" s="3" t="s">
        <v>51</v>
      </c>
      <c r="F94" s="3">
        <v>1</v>
      </c>
      <c r="G94" s="3" t="s">
        <v>18</v>
      </c>
      <c r="H94" s="3" t="s">
        <v>14</v>
      </c>
      <c r="I94" s="3" t="s">
        <v>48</v>
      </c>
      <c r="J94" s="12" t="s">
        <v>306</v>
      </c>
      <c r="K94" s="3" t="s">
        <v>47</v>
      </c>
      <c r="L94" s="3" t="s">
        <v>71</v>
      </c>
      <c r="M94" s="4">
        <v>69</v>
      </c>
      <c r="O94">
        <f>+sum_sheet!N104*'Equivalence Factor'!$L104</f>
        <v>8.4341428356425455E-2</v>
      </c>
      <c r="P94">
        <f>+sum_sheet!O104*'Equivalence Factor'!$L104</f>
        <v>9.6023520565937895E-2</v>
      </c>
      <c r="Q94">
        <f>+sum_sheet!P104*'Equivalence Factor'!$L104</f>
        <v>0.11123840733740004</v>
      </c>
      <c r="R94">
        <f>+sum_sheet!Q104*'Equivalence Factor'!$L104</f>
        <v>0.10850345152755884</v>
      </c>
      <c r="S94">
        <f>+sum_sheet!R104*'Equivalence Factor'!$L104</f>
        <v>9.921458499782343E-2</v>
      </c>
      <c r="T94">
        <f>+sum_sheet!S104*'Equivalence Factor'!$L104</f>
        <v>9.803104467975042E-2</v>
      </c>
      <c r="U94">
        <f>+sum_sheet!T104*'Equivalence Factor'!$L104</f>
        <v>0.11973493662696109</v>
      </c>
      <c r="V94">
        <f>+sum_sheet!U104*'Equivalence Factor'!$L104</f>
        <v>0.10757485431848514</v>
      </c>
      <c r="W94">
        <f>+sum_sheet!V104*'Equivalence Factor'!$L104</f>
        <v>0.1168134156835373</v>
      </c>
      <c r="X94">
        <f>+sum_sheet!W104*'Equivalence Factor'!$L104</f>
        <v>0.11254971442546097</v>
      </c>
      <c r="Y94">
        <f>+sum_sheet!X104*'Equivalence Factor'!$L104</f>
        <v>0.11626050168596512</v>
      </c>
      <c r="Z94">
        <f>+sum_sheet!Y104*'Equivalence Factor'!$L104</f>
        <v>5.6263012596976927E-2</v>
      </c>
      <c r="AA94">
        <f>+sum_sheet!Z104*'Equivalence Factor'!$L104</f>
        <v>5.2451296130067819E-2</v>
      </c>
      <c r="AB94">
        <f>+sum_sheet!AA104*'Equivalence Factor'!$L104</f>
        <v>5.786083289721175E-2</v>
      </c>
      <c r="AC94">
        <f>+sum_sheet!AB104*'Equivalence Factor'!$L104</f>
        <v>5.2524299760154859E-2</v>
      </c>
      <c r="AD94">
        <f>+sum_sheet!AC104*'Equivalence Factor'!$L104</f>
        <v>4.5356549664287725E-2</v>
      </c>
      <c r="AE94">
        <f>+sum_sheet!AD104*'Equivalence Factor'!$L104</f>
        <v>5.273421069821288E-2</v>
      </c>
      <c r="AF94">
        <f>+sum_sheet!AE104*'Equivalence Factor'!$L104</f>
        <v>5.504064018972106E-2</v>
      </c>
      <c r="AG94">
        <f>+sum_sheet!AF104*'Equivalence Factor'!$L104</f>
        <v>5.7675952579158377E-2</v>
      </c>
      <c r="AH94">
        <f>+sum_sheet!AG104*'Equivalence Factor'!$L104</f>
        <v>6.0503255016060929E-2</v>
      </c>
      <c r="AI94">
        <f>+sum_sheet!AH104*'Equivalence Factor'!$L104</f>
        <v>5.7618987411086835E-2</v>
      </c>
      <c r="AJ94">
        <f>+sum_sheet!AI104*'Equivalence Factor'!$L104</f>
        <v>6.1779872692061276E-2</v>
      </c>
      <c r="AK94">
        <f>+sum_sheet!AJ104*'Equivalence Factor'!$L104</f>
        <v>5.882052752166534E-2</v>
      </c>
      <c r="AL94">
        <f>+sum_sheet!AK104*'Equivalence Factor'!$L104</f>
        <v>5.4924216808621987E-2</v>
      </c>
      <c r="AM94">
        <f>+sum_sheet!AL104*'Equivalence Factor'!$L104</f>
        <v>3.8206859006229416E-2</v>
      </c>
      <c r="AN94">
        <f>+sum_sheet!AM104*'Equivalence Factor'!$L104</f>
        <v>3.7773833567255978E-2</v>
      </c>
      <c r="AO94">
        <f>+sum_sheet!AN104*'Equivalence Factor'!$L104</f>
        <v>3.7620463239254782E-2</v>
      </c>
      <c r="AP94">
        <f>+sum_sheet!AO104*'Equivalence Factor'!$L104</f>
        <v>7.2224210434611039E-2</v>
      </c>
      <c r="AQ94">
        <f>+sum_sheet!AP104*'Equivalence Factor'!$L104</f>
        <v>2.7777947831951949E-2</v>
      </c>
      <c r="AR94">
        <f>+sum_sheet!AQ104*'Equivalence Factor'!$L104</f>
        <v>2.2454542706849562E-2</v>
      </c>
      <c r="AS94">
        <f>+sum_sheet!AR104*'Equivalence Factor'!$L104</f>
        <v>3.3157095718794181E-2</v>
      </c>
      <c r="AT94">
        <f>+sum_sheet!AS104*'Equivalence Factor'!$L104</f>
        <v>4.1653142064315411E-2</v>
      </c>
    </row>
    <row r="95" spans="1:46" x14ac:dyDescent="0.2">
      <c r="A95" s="3" t="s">
        <v>45</v>
      </c>
      <c r="B95" t="s">
        <v>338</v>
      </c>
      <c r="C95" s="3" t="s">
        <v>3</v>
      </c>
      <c r="D95" s="3" t="s">
        <v>64</v>
      </c>
      <c r="E95" s="3" t="s">
        <v>49</v>
      </c>
      <c r="F95" s="3">
        <v>1</v>
      </c>
      <c r="G95" s="3" t="s">
        <v>18</v>
      </c>
      <c r="H95" s="3" t="s">
        <v>14</v>
      </c>
      <c r="I95" s="3" t="s">
        <v>48</v>
      </c>
      <c r="J95" s="12" t="s">
        <v>307</v>
      </c>
      <c r="K95" s="3" t="s">
        <v>47</v>
      </c>
      <c r="L95" s="3" t="s">
        <v>63</v>
      </c>
      <c r="M95" s="4">
        <v>101</v>
      </c>
      <c r="O95">
        <f>+sum_sheet!N105*'Equivalence Factor'!$L105</f>
        <v>8.6606561503003207E-2</v>
      </c>
      <c r="P95">
        <f>+sum_sheet!O105*'Equivalence Factor'!$L105</f>
        <v>0.1076435647649472</v>
      </c>
      <c r="Q95">
        <f>+sum_sheet!P105*'Equivalence Factor'!$L105</f>
        <v>9.0160990326724796E-2</v>
      </c>
      <c r="R95">
        <f>+sum_sheet!Q105*'Equivalence Factor'!$L105</f>
        <v>8.4218840807617615E-2</v>
      </c>
      <c r="S95">
        <f>+sum_sheet!R105*'Equivalence Factor'!$L105</f>
        <v>0.10784190032589278</v>
      </c>
      <c r="T95">
        <f>+sum_sheet!S105*'Equivalence Factor'!$L105</f>
        <v>9.6521492236724793E-2</v>
      </c>
      <c r="U95">
        <f>+sum_sheet!T105*'Equivalence Factor'!$L105</f>
        <v>9.7104581803502385E-2</v>
      </c>
      <c r="V95">
        <f>+sum_sheet!U105*'Equivalence Factor'!$L105</f>
        <v>0.10194370750429921</v>
      </c>
      <c r="W95">
        <f>+sum_sheet!V105*'Equivalence Factor'!$L105</f>
        <v>9.5896902071891207E-2</v>
      </c>
      <c r="X95">
        <f>+sum_sheet!W105*'Equivalence Factor'!$L105</f>
        <v>0.1137752481817248</v>
      </c>
      <c r="Y95">
        <f>+sum_sheet!X105*'Equivalence Factor'!$L105</f>
        <v>0.11839048950511361</v>
      </c>
      <c r="Z95">
        <f>+sum_sheet!Y105*'Equivalence Factor'!$L105</f>
        <v>0.11549331863693438</v>
      </c>
      <c r="AA95">
        <f>+sum_sheet!Z105*'Equivalence Factor'!$L105</f>
        <v>0.12598235488996479</v>
      </c>
      <c r="AB95">
        <f>+sum_sheet!AA105*'Equivalence Factor'!$L105</f>
        <v>0.12751753948478078</v>
      </c>
      <c r="AC95">
        <f>+sum_sheet!AB105*'Equivalence Factor'!$L105</f>
        <v>0.11982993989787198</v>
      </c>
      <c r="AD95">
        <f>+sum_sheet!AC105*'Equivalence Factor'!$L105</f>
        <v>9.4491646812223981E-2</v>
      </c>
      <c r="AE95">
        <f>+sum_sheet!AD105*'Equivalence Factor'!$L105</f>
        <v>7.7811580092223998E-2</v>
      </c>
      <c r="AF95">
        <f>+sum_sheet!AE105*'Equivalence Factor'!$L105</f>
        <v>7.4936841611759994E-2</v>
      </c>
      <c r="AG95">
        <f>+sum_sheet!AF105*'Equivalence Factor'!$L105</f>
        <v>6.5156928124316796E-2</v>
      </c>
      <c r="AH95">
        <f>+sum_sheet!AG105*'Equivalence Factor'!$L105</f>
        <v>5.3785754889964808E-2</v>
      </c>
      <c r="AI95">
        <f>+sum_sheet!AH105*'Equivalence Factor'!$L105</f>
        <v>1.3555181820595201E-2</v>
      </c>
      <c r="AJ95">
        <f>+sum_sheet!AI105*'Equivalence Factor'!$L105</f>
        <v>1.3633075571558401E-2</v>
      </c>
      <c r="AK95">
        <f>+sum_sheet!AJ105*'Equivalence Factor'!$L105</f>
        <v>1.3939002527040001E-2</v>
      </c>
      <c r="AL95">
        <f>+sum_sheet!AK105*'Equivalence Factor'!$L105</f>
        <v>1.2342880579465599E-2</v>
      </c>
      <c r="AM95">
        <f>+sum_sheet!AL105*'Equivalence Factor'!$L105</f>
        <v>1.33091485654464E-2</v>
      </c>
      <c r="AN95">
        <f>+sum_sheet!AM105*'Equivalence Factor'!$L105</f>
        <v>1.3416989166576002E-2</v>
      </c>
      <c r="AO95">
        <f>+sum_sheet!AN105*'Equivalence Factor'!$L105</f>
        <v>1.2762173369964798E-2</v>
      </c>
      <c r="AP95">
        <f>+sum_sheet!AO105*'Equivalence Factor'!$L105</f>
        <v>1.3054532766576001E-2</v>
      </c>
      <c r="AQ95">
        <f>+sum_sheet!AP105*'Equivalence Factor'!$L105</f>
        <v>1.3175977763187199E-2</v>
      </c>
      <c r="AR95">
        <f>+sum_sheet!AQ105*'Equivalence Factor'!$L105</f>
        <v>1.4128936046576002E-2</v>
      </c>
      <c r="AS95">
        <f>+sum_sheet!AR105*'Equivalence Factor'!$L105</f>
        <v>8.3377741767423994E-3</v>
      </c>
      <c r="AT95">
        <f>+sum_sheet!AS105*'Equivalence Factor'!$L105</f>
        <v>9.5112022156128018E-3</v>
      </c>
    </row>
    <row r="96" spans="1:46" x14ac:dyDescent="0.2">
      <c r="A96" s="3" t="s">
        <v>45</v>
      </c>
      <c r="B96" t="s">
        <v>338</v>
      </c>
      <c r="C96" s="3" t="s">
        <v>3</v>
      </c>
      <c r="D96" s="3" t="s">
        <v>61</v>
      </c>
      <c r="E96" s="3" t="s">
        <v>49</v>
      </c>
      <c r="F96" s="3">
        <v>1</v>
      </c>
      <c r="G96" s="3" t="s">
        <v>18</v>
      </c>
      <c r="H96" s="3" t="s">
        <v>14</v>
      </c>
      <c r="I96" s="3" t="s">
        <v>48</v>
      </c>
      <c r="J96" s="12" t="s">
        <v>306</v>
      </c>
      <c r="K96" s="3" t="s">
        <v>60</v>
      </c>
      <c r="L96" s="7" t="s">
        <v>59</v>
      </c>
      <c r="M96" s="4">
        <v>90</v>
      </c>
      <c r="O96">
        <f>+sum_sheet!N106*'Equivalence Factor'!$L106</f>
        <v>3.5524258491962659E-4</v>
      </c>
      <c r="P96">
        <f>+sum_sheet!O106*'Equivalence Factor'!$L106</f>
        <v>3.2480231073835677E-4</v>
      </c>
      <c r="Q96">
        <f>+sum_sheet!P106*'Equivalence Factor'!$L106</f>
        <v>3.1680156237531181E-4</v>
      </c>
      <c r="R96">
        <f>+sum_sheet!Q106*'Equivalence Factor'!$L106</f>
        <v>3.4010400935349696E-4</v>
      </c>
      <c r="S96">
        <f>+sum_sheet!R106*'Equivalence Factor'!$L106</f>
        <v>3.4985574113460664E-4</v>
      </c>
      <c r="T96">
        <f>+sum_sheet!S106*'Equivalence Factor'!$L106</f>
        <v>3.7265040292602656E-4</v>
      </c>
      <c r="U96">
        <f>+sum_sheet!T106*'Equivalence Factor'!$L106</f>
        <v>3.3413784763869993E-4</v>
      </c>
      <c r="V96">
        <f>+sum_sheet!U106*'Equivalence Factor'!$L106</f>
        <v>3.1784190166274937E-4</v>
      </c>
      <c r="W96">
        <f>+sum_sheet!V106*'Equivalence Factor'!$L106</f>
        <v>3.1846031571361092E-4</v>
      </c>
      <c r="X96">
        <f>+sum_sheet!W106*'Equivalence Factor'!$L106</f>
        <v>3.3990723061447372E-4</v>
      </c>
      <c r="Y96">
        <f>+sum_sheet!X106*'Equivalence Factor'!$L106</f>
        <v>3.2194469405316293E-4</v>
      </c>
      <c r="Z96">
        <f>+sum_sheet!Y106*'Equivalence Factor'!$L106</f>
        <v>2.7911797490704637E-4</v>
      </c>
      <c r="AA96">
        <f>+sum_sheet!Z106*'Equivalence Factor'!$L106</f>
        <v>2.81697556898567E-4</v>
      </c>
      <c r="AB96">
        <f>+sum_sheet!AA106*'Equivalence Factor'!$L106</f>
        <v>2.796419680066132E-4</v>
      </c>
      <c r="AC96">
        <f>+sum_sheet!AB106*'Equivalence Factor'!$L106</f>
        <v>2.871966266204454E-4</v>
      </c>
      <c r="AD96">
        <f>+sum_sheet!AC106*'Equivalence Factor'!$L106</f>
        <v>2.8875631130912825E-4</v>
      </c>
      <c r="AE96">
        <f>+sum_sheet!AD106*'Equivalence Factor'!$L106</f>
        <v>2.798372921790892E-4</v>
      </c>
      <c r="AF96">
        <f>+sum_sheet!AE106*'Equivalence Factor'!$L106</f>
        <v>1.9194507507568312E-4</v>
      </c>
      <c r="AG96">
        <f>+sum_sheet!AF106*'Equivalence Factor'!$L106</f>
        <v>1.6407601239521087E-4</v>
      </c>
      <c r="AH96">
        <f>+sum_sheet!AG106*'Equivalence Factor'!$L106</f>
        <v>2.1994994416297747E-4</v>
      </c>
      <c r="AI96">
        <f>+sum_sheet!AH106*'Equivalence Factor'!$L106</f>
        <v>1.8021584195377849E-4</v>
      </c>
      <c r="AJ96">
        <f>+sum_sheet!AI106*'Equivalence Factor'!$L106</f>
        <v>1.7155253019133384E-4</v>
      </c>
      <c r="AK96">
        <f>+sum_sheet!AJ106*'Equivalence Factor'!$L106</f>
        <v>1.7281729058812542E-4</v>
      </c>
      <c r="AL96">
        <f>+sum_sheet!AK106*'Equivalence Factor'!$L106</f>
        <v>1.4707942201556471E-4</v>
      </c>
      <c r="AM96">
        <f>+sum_sheet!AL106*'Equivalence Factor'!$L106</f>
        <v>1.25312740071643E-4</v>
      </c>
      <c r="AN96">
        <f>+sum_sheet!AM106*'Equivalence Factor'!$L106</f>
        <v>1.049389224671108E-4</v>
      </c>
      <c r="AO96">
        <f>+sum_sheet!AN106*'Equivalence Factor'!$L106</f>
        <v>9.5014822243163214E-5</v>
      </c>
      <c r="AP96">
        <f>+sum_sheet!AO106*'Equivalence Factor'!$L106</f>
        <v>8.3520632919109199E-5</v>
      </c>
      <c r="AQ96">
        <f>+sum_sheet!AP106*'Equivalence Factor'!$L106</f>
        <v>7.2302578442716577E-5</v>
      </c>
      <c r="AR96">
        <f>+sum_sheet!AQ106*'Equivalence Factor'!$L106</f>
        <v>1.0118522770469622E-4</v>
      </c>
      <c r="AS96">
        <f>+sum_sheet!AR106*'Equivalence Factor'!$L106</f>
        <v>8.5996222520069124E-5</v>
      </c>
      <c r="AT96">
        <f>+sum_sheet!AS106*'Equivalence Factor'!$L106</f>
        <v>1.8932690426126845E-4</v>
      </c>
    </row>
    <row r="97" spans="1:46" x14ac:dyDescent="0.2">
      <c r="A97" s="3" t="s">
        <v>45</v>
      </c>
      <c r="B97" t="s">
        <v>338</v>
      </c>
      <c r="C97" s="3" t="s">
        <v>3</v>
      </c>
      <c r="D97" s="3" t="s">
        <v>50</v>
      </c>
      <c r="E97" s="3" t="s">
        <v>49</v>
      </c>
      <c r="F97" s="3">
        <v>1</v>
      </c>
      <c r="G97" s="3" t="s">
        <v>18</v>
      </c>
      <c r="H97" s="3" t="s">
        <v>14</v>
      </c>
      <c r="I97" s="3" t="s">
        <v>48</v>
      </c>
      <c r="J97" s="12" t="s">
        <v>307</v>
      </c>
      <c r="K97" s="3" t="s">
        <v>47</v>
      </c>
      <c r="L97" s="7" t="s">
        <v>46</v>
      </c>
      <c r="M97" s="4">
        <v>98</v>
      </c>
      <c r="O97">
        <f>+sum_sheet!N107*'Equivalence Factor'!$L107</f>
        <v>4.6799567099999996E-3</v>
      </c>
      <c r="P97">
        <f>+sum_sheet!O107*'Equivalence Factor'!$L107</f>
        <v>5.4345977399999999E-3</v>
      </c>
      <c r="Q97">
        <f>+sum_sheet!P107*'Equivalence Factor'!$L107</f>
        <v>3.4395017800000001E-3</v>
      </c>
      <c r="R97">
        <f>+sum_sheet!Q107*'Equivalence Factor'!$L107</f>
        <v>2.7898298999999996E-3</v>
      </c>
      <c r="S97">
        <f>+sum_sheet!R107*'Equivalence Factor'!$L107</f>
        <v>2.32053822E-3</v>
      </c>
      <c r="T97">
        <f>+sum_sheet!S107*'Equivalence Factor'!$L107</f>
        <v>1.3510325400000001E-3</v>
      </c>
      <c r="U97">
        <f>+sum_sheet!T107*'Equivalence Factor'!$L107</f>
        <v>1.8016040899999999E-3</v>
      </c>
      <c r="V97">
        <f>+sum_sheet!U107*'Equivalence Factor'!$L107</f>
        <v>1.33200925E-3</v>
      </c>
      <c r="W97">
        <f>+sum_sheet!V107*'Equivalence Factor'!$L107</f>
        <v>1.5446002E-3</v>
      </c>
      <c r="X97">
        <f>+sum_sheet!W107*'Equivalence Factor'!$L107</f>
        <v>2.0418583899999994E-3</v>
      </c>
      <c r="Y97">
        <f>+sum_sheet!X107*'Equivalence Factor'!$L107</f>
        <v>3.3589370099999997E-3</v>
      </c>
      <c r="Z97">
        <f>+sum_sheet!Y107*'Equivalence Factor'!$L107</f>
        <v>4.6374385199999995E-3</v>
      </c>
      <c r="AA97">
        <f>+sum_sheet!Z107*'Equivalence Factor'!$L107</f>
        <v>3.9549495699999996E-3</v>
      </c>
      <c r="AB97">
        <f>+sum_sheet!AA107*'Equivalence Factor'!$L107</f>
        <v>4.0858389000000004E-3</v>
      </c>
      <c r="AC97">
        <f>+sum_sheet!AB107*'Equivalence Factor'!$L107</f>
        <v>3.5109717499999991E-3</v>
      </c>
      <c r="AD97">
        <f>+sum_sheet!AC107*'Equivalence Factor'!$L107</f>
        <v>2.7104019799999999E-3</v>
      </c>
      <c r="AE97">
        <f>+sum_sheet!AD107*'Equivalence Factor'!$L107</f>
        <v>4.4091590399999991E-3</v>
      </c>
      <c r="AF97">
        <f>+sum_sheet!AE107*'Equivalence Factor'!$L107</f>
        <v>4.5331514799999998E-3</v>
      </c>
      <c r="AG97">
        <f>+sum_sheet!AF107*'Equivalence Factor'!$L107</f>
        <v>2.7156314900000002E-3</v>
      </c>
      <c r="AH97">
        <f>+sum_sheet!AG107*'Equivalence Factor'!$L107</f>
        <v>1.7502184699999999E-3</v>
      </c>
      <c r="AI97">
        <f>+sum_sheet!AH107*'Equivalence Factor'!$L107</f>
        <v>2.6554542300000002E-3</v>
      </c>
      <c r="AJ97">
        <f>+sum_sheet!AI107*'Equivalence Factor'!$L107</f>
        <v>3.5657679199999994E-3</v>
      </c>
      <c r="AK97">
        <f>+sum_sheet!AJ107*'Equivalence Factor'!$L107</f>
        <v>2.3399404599999999E-3</v>
      </c>
      <c r="AL97">
        <f>+sum_sheet!AK107*'Equivalence Factor'!$L107</f>
        <v>2.7941499299999999E-3</v>
      </c>
      <c r="AM97">
        <f>+sum_sheet!AL107*'Equivalence Factor'!$L107</f>
        <v>3.42517747E-3</v>
      </c>
      <c r="AN97">
        <f>+sum_sheet!AM107*'Equivalence Factor'!$L107</f>
        <v>4.2636422399999997E-3</v>
      </c>
      <c r="AO97">
        <f>+sum_sheet!AN107*'Equivalence Factor'!$L107</f>
        <v>3.2233486999999998E-3</v>
      </c>
      <c r="AP97">
        <f>+sum_sheet!AO107*'Equivalence Factor'!$L107</f>
        <v>1.65881573E-3</v>
      </c>
      <c r="AQ97">
        <f>+sum_sheet!AP107*'Equivalence Factor'!$L107</f>
        <v>1.90119215E-3</v>
      </c>
      <c r="AR97">
        <f>+sum_sheet!AQ107*'Equivalence Factor'!$L107</f>
        <v>2.4391495699999993E-3</v>
      </c>
      <c r="AS97">
        <f>+sum_sheet!AR107*'Equivalence Factor'!$L107</f>
        <v>8.6612811999999993E-4</v>
      </c>
      <c r="AT97">
        <f>+sum_sheet!AS107*'Equivalence Factor'!$L107</f>
        <v>8.6612811999999993E-4</v>
      </c>
    </row>
    <row r="98" spans="1:46" x14ac:dyDescent="0.2">
      <c r="A98" s="3" t="s">
        <v>45</v>
      </c>
      <c r="B98" t="s">
        <v>338</v>
      </c>
      <c r="C98" s="3" t="s">
        <v>3</v>
      </c>
      <c r="D98" s="3" t="s">
        <v>56</v>
      </c>
      <c r="E98" s="3" t="s">
        <v>49</v>
      </c>
      <c r="F98" s="3">
        <v>1</v>
      </c>
      <c r="G98" s="3" t="s">
        <v>18</v>
      </c>
      <c r="H98" s="3" t="s">
        <v>14</v>
      </c>
      <c r="I98" s="3" t="s">
        <v>48</v>
      </c>
      <c r="J98" s="12" t="s">
        <v>307</v>
      </c>
      <c r="K98" s="3" t="s">
        <v>55</v>
      </c>
      <c r="L98" s="7" t="s">
        <v>54</v>
      </c>
      <c r="M98" s="4" t="s">
        <v>53</v>
      </c>
      <c r="O98">
        <f>+sum_sheet!N108*'Equivalence Factor'!$L108</f>
        <v>1.313011927189385E-2</v>
      </c>
      <c r="P98">
        <f>+sum_sheet!O108*'Equivalence Factor'!$L108</f>
        <v>1.3933129253013134E-2</v>
      </c>
      <c r="Q98">
        <f>+sum_sheet!P108*'Equivalence Factor'!$L108</f>
        <v>1.363596357910539E-2</v>
      </c>
      <c r="R98">
        <f>+sum_sheet!Q108*'Equivalence Factor'!$L108</f>
        <v>1.5172525316398799E-2</v>
      </c>
      <c r="S98">
        <f>+sum_sheet!R108*'Equivalence Factor'!$L108</f>
        <v>1.6499397268311743E-2</v>
      </c>
      <c r="T98">
        <f>+sum_sheet!S108*'Equivalence Factor'!$L108</f>
        <v>1.717164559564455E-2</v>
      </c>
      <c r="U98">
        <f>+sum_sheet!T108*'Equivalence Factor'!$L108</f>
        <v>1.7562521388424537E-2</v>
      </c>
      <c r="V98">
        <f>+sum_sheet!U108*'Equivalence Factor'!$L108</f>
        <v>1.8866779174675118E-2</v>
      </c>
      <c r="W98">
        <f>+sum_sheet!V108*'Equivalence Factor'!$L108</f>
        <v>2.0523734055478016E-2</v>
      </c>
      <c r="X98">
        <f>+sum_sheet!W108*'Equivalence Factor'!$L108</f>
        <v>2.1250874470809002E-2</v>
      </c>
      <c r="Y98">
        <f>+sum_sheet!X108*'Equivalence Factor'!$L108</f>
        <v>2.114301527719507E-2</v>
      </c>
      <c r="Z98">
        <f>+sum_sheet!Y108*'Equivalence Factor'!$L108</f>
        <v>1.8181084078197598E-2</v>
      </c>
      <c r="AA98">
        <f>+sum_sheet!Z108*'Equivalence Factor'!$L108</f>
        <v>1.9969422849020455E-2</v>
      </c>
      <c r="AB98">
        <f>+sum_sheet!AA108*'Equivalence Factor'!$L108</f>
        <v>2.0795233720161184E-2</v>
      </c>
      <c r="AC98">
        <f>+sum_sheet!AB108*'Equivalence Factor'!$L108</f>
        <v>2.0201113183435749E-2</v>
      </c>
      <c r="AD98">
        <f>+sum_sheet!AC108*'Equivalence Factor'!$L108</f>
        <v>1.8743226344349242E-2</v>
      </c>
      <c r="AE98">
        <f>+sum_sheet!AD108*'Equivalence Factor'!$L108</f>
        <v>8.6234110139588524E-3</v>
      </c>
      <c r="AF98">
        <f>+sum_sheet!AE108*'Equivalence Factor'!$L108</f>
        <v>1.2644849017394235E-2</v>
      </c>
      <c r="AG98">
        <f>+sum_sheet!AF108*'Equivalence Factor'!$L108</f>
        <v>1.49004838138986E-2</v>
      </c>
      <c r="AH98">
        <f>+sum_sheet!AG108*'Equivalence Factor'!$L108</f>
        <v>2.1501253184674152E-2</v>
      </c>
      <c r="AI98">
        <f>+sum_sheet!AH108*'Equivalence Factor'!$L108</f>
        <v>2.2818933244426312E-2</v>
      </c>
      <c r="AJ98">
        <f>+sum_sheet!AI108*'Equivalence Factor'!$L108</f>
        <v>2.4111851204172172E-2</v>
      </c>
      <c r="AK98">
        <f>+sum_sheet!AJ108*'Equivalence Factor'!$L108</f>
        <v>2.7125380501093952E-2</v>
      </c>
      <c r="AL98">
        <f>+sum_sheet!AK108*'Equivalence Factor'!$L108</f>
        <v>3.1224974562950109E-2</v>
      </c>
      <c r="AM98">
        <f>+sum_sheet!AL108*'Equivalence Factor'!$L108</f>
        <v>3.4575799327066573E-2</v>
      </c>
      <c r="AN98">
        <f>+sum_sheet!AM108*'Equivalence Factor'!$L108</f>
        <v>3.6876695118117454E-2</v>
      </c>
      <c r="AO98">
        <f>+sum_sheet!AN108*'Equivalence Factor'!$L108</f>
        <v>4.0656806424678053E-2</v>
      </c>
      <c r="AP98">
        <f>+sum_sheet!AO108*'Equivalence Factor'!$L108</f>
        <v>4.1661412250037035E-2</v>
      </c>
      <c r="AQ98">
        <f>+sum_sheet!AP108*'Equivalence Factor'!$L108</f>
        <v>4.5695739665527702E-2</v>
      </c>
      <c r="AR98">
        <f>+sum_sheet!AQ108*'Equivalence Factor'!$L108</f>
        <v>4.8505909126112766E-2</v>
      </c>
      <c r="AS98">
        <f>+sum_sheet!AR108*'Equivalence Factor'!$L108</f>
        <v>5.4234363116400355E-2</v>
      </c>
      <c r="AT98">
        <f>+sum_sheet!AS108*'Equivalence Factor'!$L108</f>
        <v>5.8933365755825154E-2</v>
      </c>
    </row>
    <row r="99" spans="1:46" x14ac:dyDescent="0.2">
      <c r="A99" s="3" t="s">
        <v>45</v>
      </c>
      <c r="B99" t="s">
        <v>338</v>
      </c>
      <c r="C99" s="3" t="s">
        <v>3</v>
      </c>
      <c r="D99" s="3" t="s">
        <v>68</v>
      </c>
      <c r="E99" s="3" t="s">
        <v>49</v>
      </c>
      <c r="F99" s="3">
        <v>1</v>
      </c>
      <c r="G99" s="3" t="s">
        <v>18</v>
      </c>
      <c r="H99" s="3" t="s">
        <v>14</v>
      </c>
      <c r="I99" s="3" t="s">
        <v>48</v>
      </c>
      <c r="J99" s="12" t="s">
        <v>307</v>
      </c>
      <c r="K99" s="3" t="s">
        <v>55</v>
      </c>
      <c r="L99" s="7" t="s">
        <v>67</v>
      </c>
      <c r="M99" s="4" t="s">
        <v>66</v>
      </c>
      <c r="O99">
        <f>+sum_sheet!N109*'Equivalence Factor'!$L109</f>
        <v>0.58222852104175649</v>
      </c>
      <c r="P99">
        <f>+sum_sheet!O109*'Equivalence Factor'!$L109</f>
        <v>0.55222126414789596</v>
      </c>
      <c r="Q99">
        <f>+sum_sheet!P109*'Equivalence Factor'!$L109</f>
        <v>0.55674518270040052</v>
      </c>
      <c r="R99">
        <f>+sum_sheet!Q109*'Equivalence Factor'!$L109</f>
        <v>0.61138828132140921</v>
      </c>
      <c r="S99">
        <f>+sum_sheet!R109*'Equivalence Factor'!$L109</f>
        <v>0.63557465697675608</v>
      </c>
      <c r="T99">
        <f>+sum_sheet!S109*'Equivalence Factor'!$L109</f>
        <v>0.66062373706967181</v>
      </c>
      <c r="U99">
        <f>+sum_sheet!T109*'Equivalence Factor'!$L109</f>
        <v>0.65164927287778152</v>
      </c>
      <c r="V99">
        <f>+sum_sheet!U109*'Equivalence Factor'!$L109</f>
        <v>0.65674663598574923</v>
      </c>
      <c r="W99">
        <f>+sum_sheet!V109*'Equivalence Factor'!$L109</f>
        <v>0.66949487757345139</v>
      </c>
      <c r="X99">
        <f>+sum_sheet!W109*'Equivalence Factor'!$L109</f>
        <v>0.63196701289374924</v>
      </c>
      <c r="Y99">
        <f>+sum_sheet!X109*'Equivalence Factor'!$L109</f>
        <v>0.59585642442593434</v>
      </c>
      <c r="Z99">
        <f>+sum_sheet!Y109*'Equivalence Factor'!$L109</f>
        <v>0.55977417148158504</v>
      </c>
      <c r="AA99">
        <f>+sum_sheet!Z109*'Equivalence Factor'!$L109</f>
        <v>0.54763404895013057</v>
      </c>
      <c r="AB99">
        <f>+sum_sheet!AA109*'Equivalence Factor'!$L109</f>
        <v>0.52324621078793188</v>
      </c>
      <c r="AC99">
        <f>+sum_sheet!AB109*'Equivalence Factor'!$L109</f>
        <v>0.47551199667262262</v>
      </c>
      <c r="AD99">
        <f>+sum_sheet!AC109*'Equivalence Factor'!$L109</f>
        <v>0.43585252931423873</v>
      </c>
      <c r="AE99">
        <f>+sum_sheet!AD109*'Equivalence Factor'!$L109</f>
        <v>0.43522074337812949</v>
      </c>
      <c r="AF99">
        <f>+sum_sheet!AE109*'Equivalence Factor'!$L109</f>
        <v>0.37061861760249498</v>
      </c>
      <c r="AG99">
        <f>+sum_sheet!AF109*'Equivalence Factor'!$L109</f>
        <v>0.340540441107122</v>
      </c>
      <c r="AH99">
        <f>+sum_sheet!AG109*'Equivalence Factor'!$L109</f>
        <v>0.29320082206683468</v>
      </c>
      <c r="AI99">
        <f>+sum_sheet!AH109*'Equivalence Factor'!$L109</f>
        <v>0.27918966203106549</v>
      </c>
      <c r="AJ99">
        <f>+sum_sheet!AI109*'Equivalence Factor'!$L109</f>
        <v>0.2698953943132742</v>
      </c>
      <c r="AK99">
        <f>+sum_sheet!AJ109*'Equivalence Factor'!$L109</f>
        <v>0.23633940321652677</v>
      </c>
      <c r="AL99">
        <f>+sum_sheet!AK109*'Equivalence Factor'!$L109</f>
        <v>0.21056034857793818</v>
      </c>
      <c r="AM99">
        <f>+sum_sheet!AL109*'Equivalence Factor'!$L109</f>
        <v>0.18355388941034997</v>
      </c>
      <c r="AN99">
        <f>+sum_sheet!AM109*'Equivalence Factor'!$L109</f>
        <v>0.15697342981911536</v>
      </c>
      <c r="AO99">
        <f>+sum_sheet!AN109*'Equivalence Factor'!$L109</f>
        <v>0.13767563967859373</v>
      </c>
      <c r="AP99">
        <f>+sum_sheet!AO109*'Equivalence Factor'!$L109</f>
        <v>0.11680603765406056</v>
      </c>
      <c r="AQ99">
        <f>+sum_sheet!AP109*'Equivalence Factor'!$L109</f>
        <v>9.7581667330144284E-2</v>
      </c>
      <c r="AR99">
        <f>+sum_sheet!AQ109*'Equivalence Factor'!$L109</f>
        <v>0.10847570923376583</v>
      </c>
      <c r="AS99">
        <f>+sum_sheet!AR109*'Equivalence Factor'!$L109</f>
        <v>9.3522267139453136E-2</v>
      </c>
      <c r="AT99">
        <f>+sum_sheet!AS109*'Equivalence Factor'!$L109</f>
        <v>8.382494139871903E-2</v>
      </c>
    </row>
    <row r="100" spans="1:46" x14ac:dyDescent="0.2">
      <c r="A100" s="3" t="s">
        <v>45</v>
      </c>
      <c r="B100" t="s">
        <v>338</v>
      </c>
      <c r="C100" s="3" t="s">
        <v>3</v>
      </c>
      <c r="D100" s="3" t="s">
        <v>73</v>
      </c>
      <c r="E100" s="3" t="s">
        <v>49</v>
      </c>
      <c r="F100" s="3">
        <v>1</v>
      </c>
      <c r="G100" s="3" t="s">
        <v>18</v>
      </c>
      <c r="H100" s="3" t="s">
        <v>14</v>
      </c>
      <c r="I100" s="3" t="s">
        <v>48</v>
      </c>
      <c r="J100" s="12" t="s">
        <v>307</v>
      </c>
      <c r="K100" s="3" t="s">
        <v>47</v>
      </c>
      <c r="L100" s="3" t="s">
        <v>71</v>
      </c>
      <c r="M100" s="4">
        <v>97</v>
      </c>
      <c r="O100">
        <f>+sum_sheet!N110*'Equivalence Factor'!$L110</f>
        <v>9.0005359945809979E-2</v>
      </c>
      <c r="P100">
        <f>+sum_sheet!O110*'Equivalence Factor'!$L110</f>
        <v>0.10216757020230002</v>
      </c>
      <c r="Q100">
        <f>+sum_sheet!P110*'Equivalence Factor'!$L110</f>
        <v>0.11965505309967599</v>
      </c>
      <c r="R100">
        <f>+sum_sheet!Q110*'Equivalence Factor'!$L110</f>
        <v>0.11192917627022747</v>
      </c>
      <c r="S100">
        <f>+sum_sheet!R110*'Equivalence Factor'!$L110</f>
        <v>0.10015449614674342</v>
      </c>
      <c r="T100">
        <f>+sum_sheet!S110*'Equivalence Factor'!$L110</f>
        <v>9.6732916710649208E-2</v>
      </c>
      <c r="U100">
        <f>+sum_sheet!T110*'Equivalence Factor'!$L110</f>
        <v>0.11125579168499103</v>
      </c>
      <c r="V100">
        <f>+sum_sheet!U110*'Equivalence Factor'!$L110</f>
        <v>8.9056344927505901E-2</v>
      </c>
      <c r="W100">
        <f>+sum_sheet!V110*'Equivalence Factor'!$L110</f>
        <v>9.3824530221511812E-2</v>
      </c>
      <c r="X100">
        <f>+sum_sheet!W110*'Equivalence Factor'!$L110</f>
        <v>9.298510274295331E-2</v>
      </c>
      <c r="Y100">
        <f>+sum_sheet!X110*'Equivalence Factor'!$L110</f>
        <v>0.11570589647867505</v>
      </c>
      <c r="Z100">
        <f>+sum_sheet!Y110*'Equivalence Factor'!$L110</f>
        <v>4.6609598958086904E-2</v>
      </c>
      <c r="AA100">
        <f>+sum_sheet!Z110*'Equivalence Factor'!$L110</f>
        <v>4.612222989837244E-2</v>
      </c>
      <c r="AB100">
        <f>+sum_sheet!AA110*'Equivalence Factor'!$L110</f>
        <v>4.5154159814241528E-2</v>
      </c>
      <c r="AC100">
        <f>+sum_sheet!AB110*'Equivalence Factor'!$L110</f>
        <v>4.7656037575390553E-2</v>
      </c>
      <c r="AD100">
        <f>+sum_sheet!AC110*'Equivalence Factor'!$L110</f>
        <v>4.4453066352768668E-2</v>
      </c>
      <c r="AE100">
        <f>+sum_sheet!AD110*'Equivalence Factor'!$L110</f>
        <v>5.6399873553010259E-2</v>
      </c>
      <c r="AF100">
        <f>+sum_sheet!AE110*'Equivalence Factor'!$L110</f>
        <v>6.0691214725812195E-2</v>
      </c>
      <c r="AG100">
        <f>+sum_sheet!AF110*'Equivalence Factor'!$L110</f>
        <v>6.0776071107516219E-2</v>
      </c>
      <c r="AH100">
        <f>+sum_sheet!AG110*'Equivalence Factor'!$L110</f>
        <v>6.0168693313460746E-2</v>
      </c>
      <c r="AI100">
        <f>+sum_sheet!AH110*'Equivalence Factor'!$L110</f>
        <v>5.8810550425852745E-2</v>
      </c>
      <c r="AJ100">
        <f>+sum_sheet!AI110*'Equivalence Factor'!$L110</f>
        <v>5.7563368192004395E-2</v>
      </c>
      <c r="AK100">
        <f>+sum_sheet!AJ110*'Equivalence Factor'!$L110</f>
        <v>5.5725524335965983E-2</v>
      </c>
      <c r="AL100">
        <f>+sum_sheet!AK110*'Equivalence Factor'!$L110</f>
        <v>4.9397560638323873E-2</v>
      </c>
      <c r="AM100">
        <f>+sum_sheet!AL110*'Equivalence Factor'!$L110</f>
        <v>2.9769906516189614E-2</v>
      </c>
      <c r="AN100">
        <f>+sum_sheet!AM110*'Equivalence Factor'!$L110</f>
        <v>2.1614351921321273E-2</v>
      </c>
      <c r="AO100">
        <f>+sum_sheet!AN110*'Equivalence Factor'!$L110</f>
        <v>2.5118527351684041E-2</v>
      </c>
      <c r="AP100">
        <f>+sum_sheet!AO110*'Equivalence Factor'!$L110</f>
        <v>5.711418661337244E-2</v>
      </c>
      <c r="AQ100">
        <f>+sum_sheet!AP110*'Equivalence Factor'!$L110</f>
        <v>1.7316641566015145E-2</v>
      </c>
      <c r="AR100">
        <f>+sum_sheet!AQ110*'Equivalence Factor'!$L110</f>
        <v>1.2592038483542643E-2</v>
      </c>
      <c r="AS100">
        <f>+sum_sheet!AR110*'Equivalence Factor'!$L110</f>
        <v>1.869969752859697E-2</v>
      </c>
      <c r="AT100">
        <f>+sum_sheet!AS110*'Equivalence Factor'!$L110</f>
        <v>2.8716543735465089E-2</v>
      </c>
    </row>
    <row r="101" spans="1:46" x14ac:dyDescent="0.2">
      <c r="A101" s="3" t="s">
        <v>286</v>
      </c>
      <c r="B101" t="s">
        <v>339</v>
      </c>
      <c r="C101" s="3" t="s">
        <v>17</v>
      </c>
      <c r="D101" s="3" t="s">
        <v>284</v>
      </c>
      <c r="E101" s="3" t="s">
        <v>285</v>
      </c>
      <c r="F101" s="3">
        <v>1</v>
      </c>
      <c r="G101" s="3" t="s">
        <v>15</v>
      </c>
      <c r="H101" s="3" t="s">
        <v>14</v>
      </c>
      <c r="I101" s="3" t="s">
        <v>289</v>
      </c>
      <c r="J101" s="3" t="s">
        <v>298</v>
      </c>
      <c r="K101" s="3" t="s">
        <v>308</v>
      </c>
      <c r="L101" s="9"/>
      <c r="M101" s="4" t="s">
        <v>290</v>
      </c>
      <c r="O101">
        <f>+sum_sheet!N111*'Equivalence Factor'!$L111</f>
        <v>0.29556178508656805</v>
      </c>
      <c r="P101">
        <f>+sum_sheet!O111*'Equivalence Factor'!$L111</f>
        <v>0.29765745676220401</v>
      </c>
      <c r="Q101">
        <f>+sum_sheet!P111*'Equivalence Factor'!$L111</f>
        <v>0.30038288623635601</v>
      </c>
      <c r="R101">
        <f>+sum_sheet!Q111*'Equivalence Factor'!$L111</f>
        <v>0.30195677513231994</v>
      </c>
      <c r="S101">
        <f>+sum_sheet!R111*'Equivalence Factor'!$L111</f>
        <v>0.304097349781764</v>
      </c>
      <c r="T101">
        <f>+sum_sheet!S111*'Equivalence Factor'!$L111</f>
        <v>0.30628235142212401</v>
      </c>
      <c r="U101">
        <f>+sum_sheet!T111*'Equivalence Factor'!$L111</f>
        <v>0.30774009517851597</v>
      </c>
      <c r="V101">
        <f>+sum_sheet!U111*'Equivalence Factor'!$L111</f>
        <v>0.30919389093053995</v>
      </c>
      <c r="W101">
        <f>+sum_sheet!V111*'Equivalence Factor'!$L111</f>
        <v>0.31048474771036805</v>
      </c>
      <c r="X101">
        <f>+sum_sheet!W111*'Equivalence Factor'!$L111</f>
        <v>0.31185668409310796</v>
      </c>
      <c r="Y101">
        <f>+sum_sheet!X111*'Equivalence Factor'!$L111</f>
        <v>0.312588806986764</v>
      </c>
      <c r="Z101">
        <f>+sum_sheet!Y111*'Equivalence Factor'!$L111</f>
        <v>0.31300243197022798</v>
      </c>
      <c r="AA101">
        <f>+sum_sheet!Z111*'Equivalence Factor'!$L111</f>
        <v>0.31434485765482795</v>
      </c>
      <c r="AB101">
        <f>+sum_sheet!AA111*'Equivalence Factor'!$L111</f>
        <v>0.31597050388780801</v>
      </c>
      <c r="AC101">
        <f>+sum_sheet!AB111*'Equivalence Factor'!$L111</f>
        <v>0.31810512344133596</v>
      </c>
      <c r="AD101">
        <f>+sum_sheet!AC111*'Equivalence Factor'!$L111</f>
        <v>0.31978281217528798</v>
      </c>
      <c r="AE101">
        <f>+sum_sheet!AD111*'Equivalence Factor'!$L111</f>
        <v>0.30058382163625202</v>
      </c>
      <c r="AF101">
        <f>+sum_sheet!AE111*'Equivalence Factor'!$L111</f>
        <v>0.30564241656101998</v>
      </c>
      <c r="AG101">
        <f>+sum_sheet!AF111*'Equivalence Factor'!$L111</f>
        <v>0.30982470411261603</v>
      </c>
      <c r="AH101">
        <f>+sum_sheet!AG111*'Equivalence Factor'!$L111</f>
        <v>0.31372033519411197</v>
      </c>
      <c r="AI101">
        <f>+sum_sheet!AH111*'Equivalence Factor'!$L111</f>
        <v>0.31740812256661199</v>
      </c>
      <c r="AJ101">
        <f>+sum_sheet!AI111*'Equivalence Factor'!$L111</f>
        <v>0.31961711289816003</v>
      </c>
      <c r="AK101">
        <f>+sum_sheet!AJ111*'Equivalence Factor'!$L111</f>
        <v>0.32140167411567599</v>
      </c>
      <c r="AL101">
        <f>+sum_sheet!AK111*'Equivalence Factor'!$L111</f>
        <v>0.32306846613703194</v>
      </c>
      <c r="AM101">
        <f>+sum_sheet!AL111*'Equivalence Factor'!$L111</f>
        <v>0.32446215543772805</v>
      </c>
      <c r="AN101">
        <f>+sum_sheet!AM111*'Equivalence Factor'!$L111</f>
        <v>0.32594379794776801</v>
      </c>
      <c r="AO101">
        <f>+sum_sheet!AN111*'Equivalence Factor'!$L111</f>
        <v>0.32693408776828797</v>
      </c>
      <c r="AP101">
        <f>+sum_sheet!AO111*'Equivalence Factor'!$L111</f>
        <v>0.326382475671252</v>
      </c>
      <c r="AQ101">
        <f>+sum_sheet!AP111*'Equivalence Factor'!$L111</f>
        <v>0.32573859203239203</v>
      </c>
      <c r="AR101">
        <f>+sum_sheet!AQ111*'Equivalence Factor'!$L111</f>
        <v>0.32530136528458803</v>
      </c>
      <c r="AS101">
        <f>+sum_sheet!AR111*'Equivalence Factor'!$L111</f>
        <v>0.32482744303086009</v>
      </c>
      <c r="AT101">
        <f>+sum_sheet!AS111*'Equivalence Factor'!$L111</f>
        <v>0.32292249847426802</v>
      </c>
    </row>
    <row r="102" spans="1:46" x14ac:dyDescent="0.2">
      <c r="A102" s="3" t="s">
        <v>286</v>
      </c>
      <c r="B102" t="s">
        <v>339</v>
      </c>
      <c r="C102" s="3" t="s">
        <v>3</v>
      </c>
      <c r="D102" s="3" t="s">
        <v>288</v>
      </c>
      <c r="E102" s="3" t="s">
        <v>287</v>
      </c>
      <c r="F102" s="3">
        <v>1</v>
      </c>
      <c r="G102" s="3" t="s">
        <v>15</v>
      </c>
      <c r="H102" s="3" t="s">
        <v>14</v>
      </c>
      <c r="I102" s="3" t="s">
        <v>289</v>
      </c>
      <c r="J102" s="3" t="s">
        <v>298</v>
      </c>
      <c r="K102" s="3" t="s">
        <v>309</v>
      </c>
      <c r="L102" s="9"/>
      <c r="M102" s="4">
        <v>6</v>
      </c>
      <c r="O102">
        <f>+sum_sheet!N112*'Equivalence Factor'!$L112</f>
        <v>0.10977000378135399</v>
      </c>
      <c r="P102">
        <f>+sum_sheet!O112*'Equivalence Factor'!$L112</f>
        <v>0.11150119869596974</v>
      </c>
      <c r="Q102">
        <f>+sum_sheet!P112*'Equivalence Factor'!$L112</f>
        <v>0.11345673254787297</v>
      </c>
      <c r="R102">
        <f>+sum_sheet!Q112*'Equivalence Factor'!$L112</f>
        <v>0.11407581526454798</v>
      </c>
      <c r="S102">
        <f>+sum_sheet!R112*'Equivalence Factor'!$L112</f>
        <v>0.11674800471447248</v>
      </c>
      <c r="T102">
        <f>+sum_sheet!S112*'Equivalence Factor'!$L112</f>
        <v>0.11665606612103328</v>
      </c>
      <c r="U102">
        <f>+sum_sheet!T112*'Equivalence Factor'!$L112</f>
        <v>0.1181282017642825</v>
      </c>
      <c r="V102">
        <f>+sum_sheet!U112*'Equivalence Factor'!$L112</f>
        <v>0.11778277709420423</v>
      </c>
      <c r="W102">
        <f>+sum_sheet!V112*'Equivalence Factor'!$L112</f>
        <v>0.11924176373533997</v>
      </c>
      <c r="X102">
        <f>+sum_sheet!W112*'Equivalence Factor'!$L112</f>
        <v>0.12169116496379402</v>
      </c>
      <c r="Y102">
        <f>+sum_sheet!X112*'Equivalence Factor'!$L112</f>
        <v>0.12199326428179</v>
      </c>
      <c r="Z102">
        <f>+sum_sheet!Y112*'Equivalence Factor'!$L112</f>
        <v>0.12024962768343751</v>
      </c>
      <c r="AA102">
        <f>+sum_sheet!Z112*'Equivalence Factor'!$L112</f>
        <v>0.12172803520448769</v>
      </c>
      <c r="AB102">
        <f>+sum_sheet!AA112*'Equivalence Factor'!$L112</f>
        <v>0.123334269896268</v>
      </c>
      <c r="AC102">
        <f>+sum_sheet!AB112*'Equivalence Factor'!$L112</f>
        <v>0.12515465543475049</v>
      </c>
      <c r="AD102">
        <f>+sum_sheet!AC112*'Equivalence Factor'!$L112</f>
        <v>0.12387610837912097</v>
      </c>
      <c r="AE102">
        <f>+sum_sheet!AD112*'Equivalence Factor'!$L112</f>
        <v>0.11737693354390999</v>
      </c>
      <c r="AF102">
        <f>+sum_sheet!AE112*'Equivalence Factor'!$L112</f>
        <v>0.11843434646154821</v>
      </c>
      <c r="AG102">
        <f>+sum_sheet!AF112*'Equivalence Factor'!$L112</f>
        <v>0.1181694745730555</v>
      </c>
      <c r="AH102">
        <f>+sum_sheet!AG112*'Equivalence Factor'!$L112</f>
        <v>0.11870658041356798</v>
      </c>
      <c r="AI102">
        <f>+sum_sheet!AH112*'Equivalence Factor'!$L112</f>
        <v>0.12010693626878498</v>
      </c>
      <c r="AJ102">
        <f>+sum_sheet!AI112*'Equivalence Factor'!$L112</f>
        <v>0.11851279546867682</v>
      </c>
      <c r="AK102">
        <f>+sum_sheet!AJ112*'Equivalence Factor'!$L112</f>
        <v>0.12030529699652313</v>
      </c>
      <c r="AL102">
        <f>+sum_sheet!AK112*'Equivalence Factor'!$L112</f>
        <v>0.12084673570993255</v>
      </c>
      <c r="AM102">
        <f>+sum_sheet!AL112*'Equivalence Factor'!$L112</f>
        <v>0.12290769513413019</v>
      </c>
      <c r="AN102">
        <f>+sum_sheet!AM112*'Equivalence Factor'!$L112</f>
        <v>0.12475495728923379</v>
      </c>
      <c r="AO102">
        <f>+sum_sheet!AN112*'Equivalence Factor'!$L112</f>
        <v>0.12554855492074596</v>
      </c>
      <c r="AP102">
        <f>+sum_sheet!AO112*'Equivalence Factor'!$L112</f>
        <v>0.12588772376517299</v>
      </c>
      <c r="AQ102">
        <f>+sum_sheet!AP112*'Equivalence Factor'!$L112</f>
        <v>0.12618317250944996</v>
      </c>
      <c r="AR102">
        <f>+sum_sheet!AQ112*'Equivalence Factor'!$L112</f>
        <v>0.12461008692887869</v>
      </c>
      <c r="AS102">
        <f>+sum_sheet!AR112*'Equivalence Factor'!$L112</f>
        <v>0.12501131792280298</v>
      </c>
      <c r="AT102">
        <f>+sum_sheet!AS112*'Equivalence Factor'!$L112</f>
        <v>0.12428144065244696</v>
      </c>
    </row>
  </sheetData>
  <autoFilter ref="A1:AT102" xr:uid="{5A3CA899-B1BE-954D-86F1-035A636627C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8487-B0CF-4139-AC02-EE676DA9A000}">
  <dimension ref="A1:AJ3"/>
  <sheetViews>
    <sheetView workbookViewId="0">
      <selection activeCell="AJ3" sqref="A3:AJ3"/>
    </sheetView>
  </sheetViews>
  <sheetFormatPr baseColWidth="10" defaultColWidth="8.83203125" defaultRowHeight="16" x14ac:dyDescent="0.2"/>
  <sheetData>
    <row r="1" spans="1:36" x14ac:dyDescent="0.2">
      <c r="A1">
        <v>0.29471705364024003</v>
      </c>
      <c r="B1">
        <v>0.29693340123678003</v>
      </c>
      <c r="C1">
        <v>0.29970664569846001</v>
      </c>
      <c r="D1">
        <v>0.30134201100695995</v>
      </c>
      <c r="E1">
        <v>0.30350990850642001</v>
      </c>
      <c r="F1">
        <v>0.30569491014678002</v>
      </c>
      <c r="G1">
        <v>0.30709800820313998</v>
      </c>
      <c r="H1">
        <v>0.30864743393021993</v>
      </c>
      <c r="I1">
        <v>0.30999293641008002</v>
      </c>
      <c r="J1">
        <v>0.31142179539701997</v>
      </c>
      <c r="K1">
        <v>0.31219490256569998</v>
      </c>
      <c r="L1">
        <v>0.31261308135749999</v>
      </c>
      <c r="M1">
        <v>0.31396689156293994</v>
      </c>
      <c r="N1">
        <v>0.31562669135844001</v>
      </c>
      <c r="O1">
        <v>0.31780457209115998</v>
      </c>
      <c r="P1">
        <v>0.31950730677095995</v>
      </c>
      <c r="Q1">
        <v>0.30038117716530005</v>
      </c>
      <c r="R1">
        <v>0.30547164874841998</v>
      </c>
      <c r="S1">
        <v>0.30966076701252004</v>
      </c>
      <c r="T1">
        <v>0.31357461332735997</v>
      </c>
      <c r="U1">
        <v>0.31727378522069999</v>
      </c>
      <c r="V1">
        <v>0.31948049864808004</v>
      </c>
      <c r="W1">
        <v>0.32128327509894</v>
      </c>
      <c r="X1">
        <v>0.32295689783279996</v>
      </c>
      <c r="Y1">
        <v>0.32434603332516004</v>
      </c>
      <c r="Z1">
        <v>0.32581629131436002</v>
      </c>
      <c r="AA1">
        <v>0.32681796565571997</v>
      </c>
      <c r="AB1">
        <v>0.32628229188786001</v>
      </c>
      <c r="AC1">
        <v>0.32563840824900003</v>
      </c>
      <c r="AD1">
        <v>0.32520801221370005</v>
      </c>
      <c r="AE1">
        <v>0.32471359782246006</v>
      </c>
      <c r="AF1">
        <v>0.32281776088253999</v>
      </c>
      <c r="AG1">
        <v>0</v>
      </c>
      <c r="AH1">
        <v>0</v>
      </c>
      <c r="AI1">
        <v>0</v>
      </c>
      <c r="AJ1">
        <v>0</v>
      </c>
    </row>
    <row r="2" spans="1:36" x14ac:dyDescent="0.2">
      <c r="A2">
        <v>8.4473144632799988E-4</v>
      </c>
      <c r="B2">
        <v>7.2405552542399991E-4</v>
      </c>
      <c r="C2">
        <v>6.7624053789599981E-4</v>
      </c>
      <c r="D2">
        <v>6.1476412536000001E-4</v>
      </c>
      <c r="E2">
        <v>5.8744127534399984E-4</v>
      </c>
      <c r="F2">
        <v>5.8744127534399984E-4</v>
      </c>
      <c r="G2">
        <v>6.4208697537599985E-4</v>
      </c>
      <c r="H2">
        <v>5.4645700032000008E-4</v>
      </c>
      <c r="I2">
        <v>4.9181130028799975E-4</v>
      </c>
      <c r="J2">
        <v>4.3488869608799999E-4</v>
      </c>
      <c r="K2">
        <v>3.9390442106399995E-4</v>
      </c>
      <c r="L2">
        <v>3.8935061272799996E-4</v>
      </c>
      <c r="M2">
        <v>3.7796609188800001E-4</v>
      </c>
      <c r="N2">
        <v>3.4381252936799994E-4</v>
      </c>
      <c r="O2">
        <v>3.0055135017599993E-4</v>
      </c>
      <c r="P2">
        <v>2.7550540432800001E-4</v>
      </c>
      <c r="Q2">
        <v>2.0264447095199998E-4</v>
      </c>
      <c r="R2">
        <v>1.7076781259999996E-4</v>
      </c>
      <c r="S2">
        <v>1.6393710009599994E-4</v>
      </c>
      <c r="T2">
        <v>1.4572186675199998E-4</v>
      </c>
      <c r="U2">
        <v>1.3433734591199997E-4</v>
      </c>
      <c r="V2">
        <v>1.3661425008000002E-4</v>
      </c>
      <c r="W2">
        <v>1.1839901673599997E-4</v>
      </c>
      <c r="X2">
        <v>1.11568304232E-4</v>
      </c>
      <c r="Y2">
        <v>1.1612211256799998E-4</v>
      </c>
      <c r="Z2">
        <v>1.2750663340799996E-4</v>
      </c>
      <c r="AA2">
        <v>1.1612211256799998E-4</v>
      </c>
      <c r="AB2">
        <v>1.0018378339199999E-4</v>
      </c>
      <c r="AC2">
        <v>1.0018378339199999E-4</v>
      </c>
      <c r="AD2">
        <v>9.3353070887999964E-5</v>
      </c>
      <c r="AE2">
        <v>1.1384520839999995E-4</v>
      </c>
      <c r="AF2">
        <v>1.0473759172799998E-4</v>
      </c>
      <c r="AG2">
        <v>0</v>
      </c>
      <c r="AH2">
        <v>0</v>
      </c>
      <c r="AI2">
        <v>0</v>
      </c>
      <c r="AJ2">
        <v>0</v>
      </c>
    </row>
    <row r="3" spans="1:36" x14ac:dyDescent="0.2">
      <c r="A3">
        <f>SUM(A1:A2)</f>
        <v>0.29556178508656805</v>
      </c>
      <c r="B3">
        <f t="shared" ref="B3:AJ3" si="0">SUM(B1:B2)</f>
        <v>0.29765745676220401</v>
      </c>
      <c r="C3">
        <f t="shared" si="0"/>
        <v>0.30038288623635601</v>
      </c>
      <c r="D3">
        <f t="shared" si="0"/>
        <v>0.30195677513231994</v>
      </c>
      <c r="E3">
        <f t="shared" si="0"/>
        <v>0.304097349781764</v>
      </c>
      <c r="F3">
        <f t="shared" si="0"/>
        <v>0.30628235142212401</v>
      </c>
      <c r="G3">
        <f t="shared" si="0"/>
        <v>0.30774009517851597</v>
      </c>
      <c r="H3">
        <f t="shared" si="0"/>
        <v>0.30919389093053995</v>
      </c>
      <c r="I3">
        <f t="shared" si="0"/>
        <v>0.31048474771036805</v>
      </c>
      <c r="J3">
        <f t="shared" si="0"/>
        <v>0.31185668409310796</v>
      </c>
      <c r="K3">
        <f t="shared" si="0"/>
        <v>0.312588806986764</v>
      </c>
      <c r="L3">
        <f t="shared" si="0"/>
        <v>0.31300243197022798</v>
      </c>
      <c r="M3">
        <f t="shared" si="0"/>
        <v>0.31434485765482795</v>
      </c>
      <c r="N3">
        <f t="shared" si="0"/>
        <v>0.31597050388780801</v>
      </c>
      <c r="O3">
        <f t="shared" si="0"/>
        <v>0.31810512344133596</v>
      </c>
      <c r="P3">
        <f t="shared" si="0"/>
        <v>0.31978281217528798</v>
      </c>
      <c r="Q3">
        <f t="shared" si="0"/>
        <v>0.30058382163625202</v>
      </c>
      <c r="R3">
        <f t="shared" si="0"/>
        <v>0.30564241656101998</v>
      </c>
      <c r="S3">
        <f t="shared" si="0"/>
        <v>0.30982470411261603</v>
      </c>
      <c r="T3">
        <f t="shared" si="0"/>
        <v>0.31372033519411197</v>
      </c>
      <c r="U3">
        <f t="shared" si="0"/>
        <v>0.31740812256661199</v>
      </c>
      <c r="V3">
        <f t="shared" si="0"/>
        <v>0.31961711289816003</v>
      </c>
      <c r="W3">
        <f t="shared" si="0"/>
        <v>0.32140167411567599</v>
      </c>
      <c r="X3">
        <f t="shared" si="0"/>
        <v>0.32306846613703194</v>
      </c>
      <c r="Y3">
        <f t="shared" si="0"/>
        <v>0.32446215543772805</v>
      </c>
      <c r="Z3">
        <f t="shared" si="0"/>
        <v>0.32594379794776801</v>
      </c>
      <c r="AA3">
        <f t="shared" si="0"/>
        <v>0.32693408776828797</v>
      </c>
      <c r="AB3">
        <f t="shared" si="0"/>
        <v>0.326382475671252</v>
      </c>
      <c r="AC3">
        <f t="shared" si="0"/>
        <v>0.32573859203239203</v>
      </c>
      <c r="AD3">
        <f t="shared" si="0"/>
        <v>0.32530136528458803</v>
      </c>
      <c r="AE3">
        <f t="shared" si="0"/>
        <v>0.32482744303086009</v>
      </c>
      <c r="AF3">
        <f t="shared" si="0"/>
        <v>0.32292249847426802</v>
      </c>
      <c r="AG3">
        <f t="shared" si="0"/>
        <v>0</v>
      </c>
      <c r="AH3">
        <f t="shared" si="0"/>
        <v>0</v>
      </c>
      <c r="AI3">
        <f t="shared" si="0"/>
        <v>0</v>
      </c>
      <c r="AJ3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sum_sheet</vt:lpstr>
      <vt:lpstr>Equivalence Factor</vt:lpstr>
      <vt:lpstr>CO2evalues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Coburn Syme</dc:creator>
  <cp:lastModifiedBy>Carlos Fabian Fuentes Rivas</cp:lastModifiedBy>
  <dcterms:created xsi:type="dcterms:W3CDTF">2025-04-05T02:33:18Z</dcterms:created>
  <dcterms:modified xsi:type="dcterms:W3CDTF">2025-09-03T21:55:12Z</dcterms:modified>
</cp:coreProperties>
</file>